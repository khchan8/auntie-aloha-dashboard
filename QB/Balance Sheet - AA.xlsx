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2" i="1" l="1"/>
</calcChain>
</file>

<file path=xl/sharedStrings.xml><?xml version="1.0" encoding="utf-8"?>
<sst xmlns="http://schemas.openxmlformats.org/spreadsheetml/2006/main" count="43" uniqueCount="43">
  <si>
    <t>Auntie Aloha_QBO</t>
  </si>
  <si>
    <t>Balance Sheet</t>
  </si>
  <si>
    <t>As of Sep 12, 2026</t>
  </si>
  <si>
    <t>Assets</t>
  </si>
  <si>
    <t>Current Assets</t>
  </si>
  <si>
    <t>Bank Accounts</t>
  </si>
  <si>
    <t>Citi Bank Checking (6648)</t>
  </si>
  <si>
    <t>Total for Bank Accounts</t>
  </si>
  <si>
    <t>Total for Current Assets</t>
  </si>
  <si>
    <t>Fixed Assets</t>
  </si>
  <si>
    <t>BRAND DEVELOPMENT</t>
  </si>
  <si>
    <t>IP DEVELOPMENT</t>
  </si>
  <si>
    <t>STARTUP COSTS</t>
  </si>
  <si>
    <t>x Accumulated Amortization</t>
  </si>
  <si>
    <t>Total for Fixed Assets</t>
  </si>
  <si>
    <t>Total for Assets</t>
  </si>
  <si>
    <t>Liabilities and Equity</t>
  </si>
  <si>
    <t>Liabilities</t>
  </si>
  <si>
    <t>Current Liabilities</t>
  </si>
  <si>
    <t>Credit Cards</t>
  </si>
  <si>
    <t>Capital One Credit Card (6212)</t>
  </si>
  <si>
    <t>Citi Bank Credit Card (5816)</t>
  </si>
  <si>
    <t>Total for Credit Cards</t>
  </si>
  <si>
    <t>Total for Current Liabilities</t>
  </si>
  <si>
    <t>Total for Liabilities</t>
  </si>
  <si>
    <t>Equity</t>
  </si>
  <si>
    <t>Owner's Investment</t>
  </si>
  <si>
    <t>PM Dawn LLC</t>
  </si>
  <si>
    <t>Michael Reinsch</t>
  </si>
  <si>
    <t>Pat Arora</t>
  </si>
  <si>
    <t>Total for PM Dawn LLC</t>
  </si>
  <si>
    <t>Tiare Ventures LLC</t>
  </si>
  <si>
    <t>Marisa Badua</t>
  </si>
  <si>
    <t>Total for Tiare Ventures LLC</t>
  </si>
  <si>
    <t>Total for Owner's Investment</t>
  </si>
  <si>
    <t>Owner's Pay &amp; Personal Expenses</t>
  </si>
  <si>
    <t>Retained Earnings</t>
  </si>
  <si>
    <t>Net Income</t>
  </si>
  <si>
    <t>Total for Equity</t>
  </si>
  <si>
    <t>Total for Liabilities and Equity</t>
  </si>
  <si>
    <t/>
  </si>
  <si>
    <t>Total</t>
  </si>
  <si>
    <t>Cash Basis Sunday, September 13, 2026 10:21 AM GMT+07:00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</si>
</sst>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3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 indent="2"/>
    </xf>
    <xf numFmtId="0" fontId="5" fillId="0" borderId="0" xfId="0" applyFont="1" applyAlignment="1">
      <alignment horizontal="left" indent="2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5" fillId="0" borderId="2" xfId="0" applyNumberFormat="1" applyFont="1" applyBorder="1"/>
    <xf numFmtId="0" fontId="2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 indent="4"/>
    </xf>
    <xf numFmtId="0" fontId="3" fillId="0" borderId="0" xfId="0" applyFont="1" applyAlignment="1">
      <alignment horizontal="left" indent="4"/>
    </xf>
    <xf numFmtId="0" fontId="2" fillId="0" borderId="0" xfId="0" applyFont="1" applyAlignment="1">
      <alignment horizontal="left" indent="3"/>
    </xf>
    <xf numFmtId="0" fontId="5" fillId="0" borderId="0" xfId="0" applyFont="1" applyAlignment="1">
      <alignment horizontal="left" indent="3"/>
    </xf>
    <xf numFmtId="0" fontId="3" fillId="0" borderId="0" xfId="0" applyFont="1"/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5" fillId="0" borderId="0" xfId="0" applyFont="1" applyAlignment="1">
      <alignment horizontal="left" wrapText="1" indent="2"/>
    </xf>
    <xf numFmtId="0" fontId="5" fillId="0" borderId="0" xfId="0" applyFont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4"/>
    </xf>
    <xf numFmtId="0" fontId="5" fillId="0" borderId="0" xfId="0" applyFont="1" applyAlignment="1">
      <alignment horizontal="left" wrapText="1" indent="3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5" fillId="0" borderId="2" xfId="0" applyNumberFormat="1" applyFont="1" applyBorder="1" applyAlignment="1">
      <alignment wrapText="1"/>
    </xf>
    <xf numFmtId="0" fontId="3" fillId="0" borderId="0" xfId="0" applyFont="1" applyAlignment="1">
      <alignment wrapText="1"/>
    </xf>
    <xf numFmtId="0" fontId="4" fillId="0" borderId="1" xfId="20" applyFont="1" applyAlignment="1">
      <alignment horizontal="center" wrapText="1"/>
      <protection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B46"/>
  <sheetViews>
    <sheetView tabSelected="1" workbookViewId="0" topLeftCell="A1"/>
  </sheetViews>
  <sheetFormatPr defaultColWidth="11.255" defaultRowHeight="16"/>
  <cols>
    <col min="1" max="1" width="28.125" style="45" customWidth="1"/>
    <col min="2" max="2" width="16.125" style="45" customWidth="1"/>
  </cols>
  <sheetData>
    <row r="1" spans="1:1" ht="16">
      <c r="A1" s="32" t="s">
        <v>0</v>
      </c>
    </row>
    <row r="2" spans="1:1" ht="16">
      <c r="A2" s="33" t="s">
        <v>1</v>
      </c>
    </row>
    <row r="3" spans="1:1" ht="16">
      <c r="A3" s="34" t="s">
        <v>2</v>
      </c>
    </row>
    <row r="5" spans="1:2" ht="16">
      <c r="A5" s="47" t="s">
        <v>40</v>
      </c>
      <c r="B5" s="51" t="s">
        <v>41</v>
      </c>
    </row>
    <row r="6" spans="1:1" ht="16">
      <c r="A6" s="36" t="s">
        <v>3</v>
      </c>
    </row>
    <row r="7" spans="1:1" ht="16">
      <c r="A7" s="37" t="s">
        <v>4</v>
      </c>
    </row>
    <row r="8" spans="1:1" ht="16">
      <c r="A8" s="38" t="s">
        <v>5</v>
      </c>
    </row>
    <row r="9" spans="1:2" ht="16">
      <c r="A9" s="39" t="s">
        <v>6</v>
      </c>
      <c r="B9" s="48">
        <v>8277.06</v>
      </c>
    </row>
    <row r="10" spans="1:2" ht="16">
      <c r="A10" s="40" t="s">
        <v>7</v>
      </c>
      <c r="B10" s="49">
        <f>B8+B9</f>
        <v>8277.06</v>
      </c>
    </row>
    <row r="11" spans="1:2" ht="16">
      <c r="A11" s="41" t="s">
        <v>8</v>
      </c>
      <c r="B11" s="49">
        <f>B7+B10</f>
        <v>8277.06</v>
      </c>
    </row>
    <row r="12" spans="1:1" ht="16">
      <c r="A12" s="37" t="s">
        <v>9</v>
      </c>
    </row>
    <row r="13" spans="1:2" ht="16">
      <c r="A13" s="38" t="s">
        <v>10</v>
      </c>
      <c r="B13" s="48">
        <v>22500.0</v>
      </c>
    </row>
    <row r="14" spans="1:2" ht="16">
      <c r="A14" s="38" t="s">
        <v>11</v>
      </c>
      <c r="B14" s="48">
        <v>66391.0</v>
      </c>
    </row>
    <row r="15" spans="1:2" ht="16">
      <c r="A15" s="38" t="s">
        <v>12</v>
      </c>
      <c r="B15" s="48">
        <v>7558.0</v>
      </c>
    </row>
    <row r="16" spans="1:2" ht="16">
      <c r="A16" s="38" t="s">
        <v>13</v>
      </c>
      <c r="B16" s="48">
        <v>-36836.0</v>
      </c>
    </row>
    <row r="17" spans="1:2" ht="16">
      <c r="A17" s="41" t="s">
        <v>14</v>
      </c>
      <c r="B17" s="49">
        <f>B12+B13+B14+B15+B16</f>
        <v>59613.0</v>
      </c>
    </row>
    <row r="18" spans="1:2" ht="16">
      <c r="A18" s="42" t="s">
        <v>15</v>
      </c>
      <c r="B18" s="49">
        <f>B6+B11+B17</f>
        <v>67890.06</v>
      </c>
    </row>
    <row r="19" spans="1:1" ht="16">
      <c r="A19" s="36" t="s">
        <v>16</v>
      </c>
    </row>
    <row r="20" spans="1:1" ht="16">
      <c r="A20" s="37" t="s">
        <v>17</v>
      </c>
    </row>
    <row r="21" spans="1:1" ht="16">
      <c r="A21" s="38" t="s">
        <v>18</v>
      </c>
    </row>
    <row r="22" spans="1:1" ht="16">
      <c r="A22" s="39" t="s">
        <v>19</v>
      </c>
    </row>
    <row r="23" spans="1:2" ht="16">
      <c r="A23" s="43" t="s">
        <v>20</v>
      </c>
      <c r="B23" s="48">
        <v>4427.67</v>
      </c>
    </row>
    <row r="24" spans="1:2" ht="16">
      <c r="A24" s="43" t="s">
        <v>21</v>
      </c>
      <c r="B24" s="48">
        <v>7556.08</v>
      </c>
    </row>
    <row r="25" spans="1:2" ht="16">
      <c r="A25" s="44" t="s">
        <v>22</v>
      </c>
      <c r="B25" s="49">
        <f>B22+B23+B24</f>
        <v>11983.75</v>
      </c>
    </row>
    <row r="26" spans="1:2" ht="16">
      <c r="A26" s="40" t="s">
        <v>23</v>
      </c>
      <c r="B26" s="49">
        <f>B21+B25</f>
        <v>11983.75</v>
      </c>
    </row>
    <row r="27" spans="1:2" ht="16">
      <c r="A27" s="41" t="s">
        <v>24</v>
      </c>
      <c r="B27" s="49">
        <f>B20+B26</f>
        <v>11983.75</v>
      </c>
    </row>
    <row r="28" spans="1:1" ht="16">
      <c r="A28" s="37" t="s">
        <v>25</v>
      </c>
    </row>
    <row r="29" spans="1:2" ht="16">
      <c r="A29" s="38" t="s">
        <v>26</v>
      </c>
      <c r="B29" s="48">
        <v>2925.55</v>
      </c>
    </row>
    <row r="30" spans="1:2" ht="16">
      <c r="A30" s="39" t="s">
        <v>27</v>
      </c>
      <c r="B30" s="50"/>
    </row>
    <row r="31" spans="1:2" ht="16">
      <c r="A31" s="43" t="s">
        <v>28</v>
      </c>
      <c r="B31" s="48">
        <v>329352.86</v>
      </c>
    </row>
    <row r="32" spans="1:2" ht="16">
      <c r="A32" s="43" t="s">
        <v>29</v>
      </c>
      <c r="B32" s="48">
        <v>228899.34</v>
      </c>
    </row>
    <row r="33" spans="1:2" ht="16">
      <c r="A33" s="44" t="s">
        <v>30</v>
      </c>
      <c r="B33" s="49">
        <f>B30+B31+B32</f>
        <v>558252.2</v>
      </c>
    </row>
    <row r="34" spans="1:2" ht="16">
      <c r="A34" s="39" t="s">
        <v>31</v>
      </c>
      <c r="B34" s="50"/>
    </row>
    <row r="35" spans="1:2" ht="16">
      <c r="A35" s="43" t="s">
        <v>32</v>
      </c>
      <c r="B35" s="48">
        <v>233890.46</v>
      </c>
    </row>
    <row r="36" spans="1:2" ht="16">
      <c r="A36" s="44" t="s">
        <v>33</v>
      </c>
      <c r="B36" s="49">
        <f>B34+B35</f>
        <v>233890.46</v>
      </c>
    </row>
    <row r="37" spans="1:2" ht="16">
      <c r="A37" s="40" t="s">
        <v>34</v>
      </c>
      <c r="B37" s="49">
        <f>B29+B33+B36</f>
        <v>795068.21</v>
      </c>
    </row>
    <row r="38" spans="1:2" ht="16">
      <c r="A38" s="38" t="s">
        <v>35</v>
      </c>
      <c r="B38" s="48">
        <v>23746.68</v>
      </c>
    </row>
    <row r="39" spans="1:2" ht="16">
      <c r="A39" s="38" t="s">
        <v>36</v>
      </c>
      <c r="B39" s="48">
        <v>-724937.1199999999</v>
      </c>
    </row>
    <row r="40" spans="1:2" ht="16">
      <c r="A40" s="38" t="s">
        <v>37</v>
      </c>
      <c r="B40" s="48">
        <v>-37971.46000000001</v>
      </c>
    </row>
    <row r="41" spans="1:2" ht="16">
      <c r="A41" s="41" t="s">
        <v>38</v>
      </c>
      <c r="B41" s="49">
        <f>B28+B37+B38+B39+B40</f>
        <v>55906.31000000013</v>
      </c>
    </row>
    <row r="42" spans="1:2" ht="16">
      <c r="A42" s="42" t="s">
        <v>39</v>
      </c>
      <c r="B42" s="49">
        <f>B19+B27+B41</f>
        <v>67890.06000000013</v>
      </c>
    </row>
    <row r="46" spans="1:1" ht="16">
      <c r="A46" s="52" t="s">
        <v>42</v>
      </c>
    </row>
  </sheetData>
  <mergeCells count="4">
    <mergeCell ref="A1:B1"/>
    <mergeCell ref="A2:B2"/>
    <mergeCell ref="A3:B3"/>
    <mergeCell ref="A46:B4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