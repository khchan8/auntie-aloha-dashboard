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R67" i="1" l="1"/>
</calcChain>
</file>

<file path=xl/sharedStrings.xml><?xml version="1.0" encoding="utf-8"?>
<sst xmlns="http://schemas.openxmlformats.org/spreadsheetml/2006/main" count="137" uniqueCount="137">
  <si>
    <t>Auntie Aloha_QBO</t>
  </si>
  <si>
    <t>Profit and Loss</t>
  </si>
  <si>
    <t>All Dates</t>
  </si>
  <si>
    <t>Income</t>
  </si>
  <si>
    <t>Cali</t>
  </si>
  <si>
    <t>Hawaii</t>
  </si>
  <si>
    <t>Promotion Discount</t>
  </si>
  <si>
    <t>Total for Hawaii</t>
  </si>
  <si>
    <t>Hawaii Sales</t>
  </si>
  <si>
    <t>Thailand</t>
  </si>
  <si>
    <t>Total for Income</t>
  </si>
  <si>
    <t>Cost of Goods Sold</t>
  </si>
  <si>
    <t>Manufacturing</t>
  </si>
  <si>
    <t>Packaging</t>
  </si>
  <si>
    <t>Shipping</t>
  </si>
  <si>
    <t>Supplies and Materials</t>
  </si>
  <si>
    <t>Total for Cost of Goods Sold</t>
  </si>
  <si>
    <t>Gross Profit</t>
  </si>
  <si>
    <t>Expenses</t>
  </si>
  <si>
    <t>Advertising &amp; Marketing</t>
  </si>
  <si>
    <t>Automobile Expenses</t>
  </si>
  <si>
    <t>Bank Charges &amp; Fees</t>
  </si>
  <si>
    <t>Charitable Contributions</t>
  </si>
  <si>
    <t>Contractors</t>
  </si>
  <si>
    <t>Dues &amp; Subscriptions</t>
  </si>
  <si>
    <t>Gifts</t>
  </si>
  <si>
    <t>Insurance</t>
  </si>
  <si>
    <t>Interest Paid</t>
  </si>
  <si>
    <t>Job Supplies</t>
  </si>
  <si>
    <t>Legal &amp; Professional Services</t>
  </si>
  <si>
    <t>Accounting</t>
  </si>
  <si>
    <t>Legal</t>
  </si>
  <si>
    <t>Total for Legal &amp; Professional Services</t>
  </si>
  <si>
    <t>Meals &amp; Entertainment</t>
  </si>
  <si>
    <t>Meetings meals</t>
  </si>
  <si>
    <t>Merchant Fees</t>
  </si>
  <si>
    <t>Nabis Distro Fees</t>
  </si>
  <si>
    <t>Total for Merchant Fees</t>
  </si>
  <si>
    <t>Nabis Logistics and Fees</t>
  </si>
  <si>
    <t>Office Supplies &amp; Software</t>
  </si>
  <si>
    <t>Small office equipment</t>
  </si>
  <si>
    <t>Total for Office Supplies &amp; Software</t>
  </si>
  <si>
    <t>Postage and Delivery</t>
  </si>
  <si>
    <t>Rent &amp; Lease</t>
  </si>
  <si>
    <t>Repairs &amp; Maintenance</t>
  </si>
  <si>
    <t>Sales Agency Retainer Fee</t>
  </si>
  <si>
    <t>State Taxes</t>
  </si>
  <si>
    <t>Storage</t>
  </si>
  <si>
    <t>Travel</t>
  </si>
  <si>
    <t>Airfare</t>
  </si>
  <si>
    <t>Ground Transportation</t>
  </si>
  <si>
    <t>Hotel</t>
  </si>
  <si>
    <t>Parking</t>
  </si>
  <si>
    <t>Travel Insurance</t>
  </si>
  <si>
    <t>Total for Travel</t>
  </si>
  <si>
    <t>Total for Expenses</t>
  </si>
  <si>
    <t>Net Operating Income</t>
  </si>
  <si>
    <t>Other Income</t>
  </si>
  <si>
    <t>Cash back reward</t>
  </si>
  <si>
    <t>Total for Other Income</t>
  </si>
  <si>
    <t>Other Expenses</t>
  </si>
  <si>
    <t>Amortization</t>
  </si>
  <si>
    <t>Total for Other Expenses</t>
  </si>
  <si>
    <t>Net Other Income</t>
  </si>
  <si>
    <t>Net Income</t>
  </si>
  <si>
    <t/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</si>
  <si>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</si>
  <si>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</si>
  <si>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</si>
  <si>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</si>
  <si>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</si>
  <si>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</si>
  <si>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</si>
  <si>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</si>
  <si>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</si>
  <si>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</si>
  <si>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</si>
  <si>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</si>
  <si>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</si>
  <si>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</si>
  <si>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</si>
  <si>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</si>
  <si>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</si>
  <si>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</si>
  <si>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</si>
  <si>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</si>
  <si>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</si>
  <si>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</si>
  <si>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</si>
  <si>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</si>
  <si>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</si>
  <si>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</si>
  <si>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</si>
  <si>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</si>
  <si>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</si>
  <si>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</si>
  <si>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</si>
  <si>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</si>
  <si>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</si>
  <si>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</si>
  <si>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</si>
  <si>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</si>
  <si>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</si>
  <si>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</si>
  <si>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</si>
  <si>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</si>
  <si>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</si>
  <si>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</si>
  <si>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</si>
  <si>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</si>
  <si>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</si>
  <si>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</si>
  <si>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</si>
  <si>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</si>
  <si>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</si>
  <si>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</si>
  <si>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</si>
  <si>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</si>
  <si>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</si>
  <si>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</si>
  <si>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</si>
  <si>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</si>
  <si>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</si>
  <si>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</si>
  <si>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</si>
  <si>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</si>
  <si>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</si>
  <si>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</si>
  <si>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</si>
  <si>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</si>
  <si>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</si>
  <si>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</si>
  <si>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</si>
  <si>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</si>
  <si>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</si>
  <si>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Total</t>
  </si>
  <si>
    <t>Cash Basis Sunday, September 13, 2026 10:21 AM GMT+07:00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</si>
</sst>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"/>
    <numFmt numFmtId="178" formatCode="&quot;$&quot;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7" fontId="0" fillId="0" borderId="0" xfId="0" applyNumberFormat="1"/>
    <xf numFmtId="177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8" fontId="0" fillId="0" borderId="0" xfId="0" applyNumberFormat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S71"/>
  <sheetViews>
    <sheetView tabSelected="1" workbookViewId="0" topLeftCell="A1"/>
  </sheetViews>
  <sheetFormatPr defaultColWidth="11.255" defaultRowHeight="16"/>
  <cols>
    <col min="1" max="1" width="34.125" style="36" customWidth="1"/>
    <col min="2" max="3" width="7.5" style="36" customWidth="1"/>
    <col min="4" max="4" width="17" style="36" customWidth="1"/>
    <col min="5" max="6" width="7.5" style="36" customWidth="1"/>
    <col min="7" max="7" width="16.125" style="36" customWidth="1"/>
    <col min="8" max="8" width="7.5" style="36" customWidth="1"/>
    <col min="9" max="9" width="17" style="36" customWidth="1"/>
    <col min="10" max="12" width="7.5" style="36" customWidth="1"/>
    <col min="13" max="14" width="8.375" style="36" customWidth="1"/>
    <col min="15" max="15" width="16.125" style="36" customWidth="1"/>
    <col min="16" max="16" width="17" style="36" customWidth="1"/>
    <col min="17" max="17" width="7.5" style="36" customWidth="1"/>
    <col min="18" max="19" width="17" style="36" customWidth="1"/>
    <col min="20" max="20" width="7.5" style="36" customWidth="1"/>
    <col min="21" max="21" width="17" style="36" customWidth="1"/>
    <col min="22" max="23" width="16.125" style="36" customWidth="1"/>
    <col min="24" max="25" width="7.5" style="36" customWidth="1"/>
    <col min="26" max="26" width="16.125" style="36" customWidth="1"/>
    <col min="27" max="27" width="8.375" style="36" customWidth="1"/>
    <col min="28" max="28" width="16.125" style="36" customWidth="1"/>
    <col min="29" max="29" width="17" style="36" customWidth="1"/>
    <col min="30" max="30" width="16.125" style="36" customWidth="1"/>
    <col min="31" max="31" width="17" style="36" customWidth="1"/>
    <col min="32" max="32" width="16.125" style="36" customWidth="1"/>
    <col min="33" max="36" width="8.375" style="36" customWidth="1"/>
    <col min="37" max="37" width="17" style="36" customWidth="1"/>
    <col min="38" max="38" width="16.125" style="36" customWidth="1"/>
    <col min="39" max="39" width="17" style="36" customWidth="1"/>
    <col min="40" max="40" width="15.25" style="36" customWidth="1"/>
    <col min="41" max="41" width="17" style="36" customWidth="1"/>
    <col min="42" max="44" width="16.125" style="36" customWidth="1"/>
    <col min="45" max="45" width="17" style="36" customWidth="1"/>
    <col min="46" max="46" width="16.125" style="36" customWidth="1"/>
    <col min="47" max="49" width="17" style="36" customWidth="1"/>
    <col min="50" max="51" width="16.125" style="36" customWidth="1"/>
    <col min="52" max="52" width="17" style="36" customWidth="1"/>
    <col min="53" max="54" width="16.125" style="36" customWidth="1"/>
    <col min="55" max="55" width="17" style="36" customWidth="1"/>
    <col min="56" max="56" width="15.25" style="36" customWidth="1"/>
    <col min="57" max="59" width="16.125" style="36" customWidth="1"/>
    <col min="60" max="62" width="17" style="36" customWidth="1"/>
    <col min="63" max="63" width="8.375" style="36" customWidth="1"/>
    <col min="64" max="65" width="16.125" style="36" customWidth="1"/>
    <col min="66" max="66" width="17" style="36" customWidth="1"/>
    <col min="67" max="67" width="16.125" style="36" customWidth="1"/>
    <col min="68" max="68" width="17" style="36" customWidth="1"/>
    <col min="69" max="71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71" ht="16">
      <c r="A5" s="38" t="s">
        <v>65</v>
      </c>
      <c r="B5" s="43" t="s">
        <v>66</v>
      </c>
      <c r="C5" s="43" t="s">
        <v>67</v>
      </c>
      <c r="D5" s="43" t="s">
        <v>68</v>
      </c>
      <c r="E5" s="43" t="s">
        <v>69</v>
      </c>
      <c r="F5" s="43" t="s">
        <v>70</v>
      </c>
      <c r="G5" s="43" t="s">
        <v>71</v>
      </c>
      <c r="H5" s="43" t="s">
        <v>72</v>
      </c>
      <c r="I5" s="43" t="s">
        <v>73</v>
      </c>
      <c r="J5" s="43" t="s">
        <v>74</v>
      </c>
      <c r="K5" s="43" t="s">
        <v>75</v>
      </c>
      <c r="L5" s="43" t="s">
        <v>76</v>
      </c>
      <c r="M5" s="43" t="s">
        <v>77</v>
      </c>
      <c r="N5" s="43" t="s">
        <v>78</v>
      </c>
      <c r="O5" s="43" t="s">
        <v>79</v>
      </c>
      <c r="P5" s="43" t="s">
        <v>80</v>
      </c>
      <c r="Q5" s="43" t="s">
        <v>81</v>
      </c>
      <c r="R5" s="43" t="s">
        <v>82</v>
      </c>
      <c r="S5" s="43" t="s">
        <v>83</v>
      </c>
      <c r="T5" s="43" t="s">
        <v>84</v>
      </c>
      <c r="U5" s="43" t="s">
        <v>85</v>
      </c>
      <c r="V5" s="43" t="s">
        <v>86</v>
      </c>
      <c r="W5" s="43" t="s">
        <v>87</v>
      </c>
      <c r="X5" s="43" t="s">
        <v>88</v>
      </c>
      <c r="Y5" s="43" t="s">
        <v>89</v>
      </c>
      <c r="Z5" s="43" t="s">
        <v>90</v>
      </c>
      <c r="AA5" s="43" t="s">
        <v>91</v>
      </c>
      <c r="AB5" s="43" t="s">
        <v>92</v>
      </c>
      <c r="AC5" s="43" t="s">
        <v>93</v>
      </c>
      <c r="AD5" s="43" t="s">
        <v>94</v>
      </c>
      <c r="AE5" s="43" t="s">
        <v>95</v>
      </c>
      <c r="AF5" s="43" t="s">
        <v>96</v>
      </c>
      <c r="AG5" s="43" t="s">
        <v>97</v>
      </c>
      <c r="AH5" s="43" t="s">
        <v>98</v>
      </c>
      <c r="AI5" s="43" t="s">
        <v>99</v>
      </c>
      <c r="AJ5" s="43" t="s">
        <v>100</v>
      </c>
      <c r="AK5" s="43" t="s">
        <v>101</v>
      </c>
      <c r="AL5" s="43" t="s">
        <v>102</v>
      </c>
      <c r="AM5" s="43" t="s">
        <v>103</v>
      </c>
      <c r="AN5" s="43" t="s">
        <v>104</v>
      </c>
      <c r="AO5" s="43" t="s">
        <v>105</v>
      </c>
      <c r="AP5" s="43" t="s">
        <v>106</v>
      </c>
      <c r="AQ5" s="43" t="s">
        <v>107</v>
      </c>
      <c r="AR5" s="43" t="s">
        <v>108</v>
      </c>
      <c r="AS5" s="43" t="s">
        <v>109</v>
      </c>
      <c r="AT5" s="43" t="s">
        <v>110</v>
      </c>
      <c r="AU5" s="43" t="s">
        <v>111</v>
      </c>
      <c r="AV5" s="43" t="s">
        <v>112</v>
      </c>
      <c r="AW5" s="43" t="s">
        <v>113</v>
      </c>
      <c r="AX5" s="43" t="s">
        <v>114</v>
      </c>
      <c r="AY5" s="43" t="s">
        <v>115</v>
      </c>
      <c r="AZ5" s="43" t="s">
        <v>116</v>
      </c>
      <c r="BA5" s="43" t="s">
        <v>117</v>
      </c>
      <c r="BB5" s="43" t="s">
        <v>118</v>
      </c>
      <c r="BC5" s="43" t="s">
        <v>119</v>
      </c>
      <c r="BD5" s="43" t="s">
        <v>120</v>
      </c>
      <c r="BE5" s="43" t="s">
        <v>121</v>
      </c>
      <c r="BF5" s="43" t="s">
        <v>122</v>
      </c>
      <c r="BG5" s="43" t="s">
        <v>123</v>
      </c>
      <c r="BH5" s="43" t="s">
        <v>124</v>
      </c>
      <c r="BI5" s="43" t="s">
        <v>125</v>
      </c>
      <c r="BJ5" s="43" t="s">
        <v>126</v>
      </c>
      <c r="BK5" s="43" t="s">
        <v>127</v>
      </c>
      <c r="BL5" s="43" t="s">
        <v>128</v>
      </c>
      <c r="BM5" s="43" t="s">
        <v>129</v>
      </c>
      <c r="BN5" s="43" t="s">
        <v>130</v>
      </c>
      <c r="BO5" s="43" t="s">
        <v>131</v>
      </c>
      <c r="BP5" s="43" t="s">
        <v>132</v>
      </c>
      <c r="BQ5" s="43" t="s">
        <v>133</v>
      </c>
      <c r="BR5" s="43" t="s">
        <v>134</v>
      </c>
      <c r="BS5" s="43" t="s">
        <v>135</v>
      </c>
    </row>
    <row r="6" spans="1:70" ht="16">
      <c r="A6" s="31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</row>
    <row r="7" spans="1:71" ht="16">
      <c r="A7" s="32" t="s">
        <v>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41">
        <v>2392.08</v>
      </c>
      <c r="AN7" s="41">
        <v>7412.48</v>
      </c>
      <c r="AO7" s="39"/>
      <c r="AP7" s="39"/>
      <c r="AQ7" s="41">
        <v>1181.27</v>
      </c>
      <c r="AR7" s="39"/>
      <c r="AS7" s="39"/>
      <c r="AT7" s="39"/>
      <c r="AU7" s="39"/>
      <c r="AV7" s="41">
        <v>1101.55</v>
      </c>
      <c r="AW7" s="41">
        <v>1000.89</v>
      </c>
      <c r="AX7" s="41">
        <v>1605.5</v>
      </c>
      <c r="AY7" s="39"/>
      <c r="AZ7" s="39"/>
      <c r="BA7" s="39"/>
      <c r="BB7" s="39"/>
      <c r="BC7" s="39"/>
      <c r="BD7" s="41">
        <v>3938.38</v>
      </c>
      <c r="BE7" s="39"/>
      <c r="BF7" s="39"/>
      <c r="BG7" s="39"/>
      <c r="BH7" s="39"/>
      <c r="BI7" s="39"/>
      <c r="BJ7" s="39"/>
      <c r="BK7" s="39"/>
      <c r="BL7" s="39"/>
      <c r="BM7" s="39"/>
      <c r="BN7" s="41">
        <v>5144.96</v>
      </c>
      <c r="BO7" s="41">
        <v>11045.4</v>
      </c>
      <c r="BP7" s="41">
        <v>14759.79</v>
      </c>
      <c r="BQ7" s="41">
        <v>11391.13</v>
      </c>
      <c r="BR7" s="39"/>
      <c r="BS7" s="41">
        <f>B7+C7+D7+E7+F7+G7+H7+I7+J7+K7+L7+M7+N7+O7+P7+Q7+R7+S7+T7+U7+V7+W7+X7+Y7+Z7+AA7+AB7+AC7+AD7+AE7+AF7+AG7+AH7+AI7+AJ7+AK7+AL7+AM7+AN7+AO7+AP7+AQ7+AR7+AS7+AT7+AU7+AV7+AW7+AX7+AY7+AZ7+BA7+BB7+BC7+BD7+BE7+BF7+BG7+BH7+BI7+BJ7+BK7+BL7+BM7+BN7+BO7+BP7+BQ7+BR7</f>
        <v>60973.42999999999</v>
      </c>
    </row>
    <row r="8" spans="1:71" ht="16">
      <c r="A8" s="32" t="s">
        <v>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41">
        <v>26767.86</v>
      </c>
      <c r="AE8" s="39"/>
      <c r="AF8" s="39"/>
      <c r="AG8" s="41">
        <v>5438.49</v>
      </c>
      <c r="AH8" s="41">
        <v>6563.5</v>
      </c>
      <c r="AI8" s="41">
        <v>6565.8</v>
      </c>
      <c r="AJ8" s="41">
        <v>12463.51</v>
      </c>
      <c r="AK8" s="41">
        <v>6067.91</v>
      </c>
      <c r="AL8" s="41">
        <v>8298.82</v>
      </c>
      <c r="AM8" s="41">
        <v>9336.5</v>
      </c>
      <c r="AN8" s="41">
        <v>9898.63</v>
      </c>
      <c r="AO8" s="41">
        <v>10771.21</v>
      </c>
      <c r="AP8" s="41">
        <v>26917.3</v>
      </c>
      <c r="AQ8" s="41">
        <v>17044.24</v>
      </c>
      <c r="AR8" s="41">
        <v>9120.24</v>
      </c>
      <c r="AS8" s="41">
        <v>6617.33</v>
      </c>
      <c r="AT8" s="41">
        <v>9190.86</v>
      </c>
      <c r="AU8" s="41">
        <v>9703.15</v>
      </c>
      <c r="AV8" s="39"/>
      <c r="AW8" s="41">
        <v>6379.73</v>
      </c>
      <c r="AX8" s="41">
        <v>4136.0</v>
      </c>
      <c r="AY8" s="41">
        <v>9258.33</v>
      </c>
      <c r="AZ8" s="41">
        <v>3395.01</v>
      </c>
      <c r="BA8" s="41">
        <v>8795.09</v>
      </c>
      <c r="BB8" s="41">
        <v>9226.14</v>
      </c>
      <c r="BC8" s="41">
        <v>3661.34</v>
      </c>
      <c r="BD8" s="41">
        <v>3367.55</v>
      </c>
      <c r="BE8" s="41">
        <v>4486.65</v>
      </c>
      <c r="BF8" s="41">
        <v>14626.53</v>
      </c>
      <c r="BG8" s="41">
        <v>19851.25</v>
      </c>
      <c r="BH8" s="41">
        <v>12894.27</v>
      </c>
      <c r="BI8" s="41">
        <v>13349.57</v>
      </c>
      <c r="BJ8" s="41">
        <v>3027.32</v>
      </c>
      <c r="BK8" s="39"/>
      <c r="BL8" s="41">
        <v>13220.22</v>
      </c>
      <c r="BM8" s="41">
        <v>23517.76</v>
      </c>
      <c r="BN8" s="39"/>
      <c r="BO8" s="39"/>
      <c r="BP8" s="39"/>
      <c r="BQ8" s="39"/>
      <c r="BR8" s="39"/>
      <c r="BS8" s="41">
        <f>B8+C8+D8+E8+F8+G8+H8+I8+J8+K8+L8+M8+N8+O8+P8+Q8+R8+S8+T8+U8+V8+W8+X8+Y8+Z8+AA8+AB8+AC8+AD8+AE8+AF8+AG8+AH8+AI8+AJ8+AK8+AL8+AM8+AN8+AO8+AP8+AQ8+AR8+AS8+AT8+AU8+AV8+AW8+AX8+AY8+AZ8+BA8+BB8+BC8+BD8+BE8+BF8+BG8+BH8+BI8+BJ8+BK8+BL8+BM8+BN8+BO8+BP8+BQ8+BR8</f>
        <v>333958.11</v>
      </c>
    </row>
    <row r="9" spans="1:71" ht="16">
      <c r="A9" s="33" t="s">
        <v>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41">
        <v>-387.5</v>
      </c>
      <c r="AM9" s="41">
        <v>-179.1</v>
      </c>
      <c r="AN9" s="41">
        <v>-762.0</v>
      </c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41">
        <f>B9+C9+D9+E9+F9+G9+H9+I9+J9+K9+L9+M9+N9+O9+P9+Q9+R9+S9+T9+U9+V9+W9+X9+Y9+Z9+AA9+AB9+AC9+AD9+AE9+AF9+AG9+AH9+AI9+AJ9+AK9+AL9+AM9+AN9+AO9+AP9+AQ9+AR9+AS9+AT9+AU9+AV9+AW9+AX9+AY9+AZ9+BA9+BB9+BC9+BD9+BE9+BF9+BG9+BH9+BI9+BJ9+BK9+BL9+BM9+BN9+BO9+BP9+BQ9+BR9</f>
        <v>-1328.6</v>
      </c>
    </row>
    <row r="10" spans="1:71" ht="16">
      <c r="A10" s="34" t="s">
        <v>7</v>
      </c>
      <c r="B10" s="40">
        <f>B8+B9</f>
        <v>0.0</v>
      </c>
      <c r="C10" s="40">
        <f>C8+C9</f>
        <v>0.0</v>
      </c>
      <c r="D10" s="40">
        <f>D8+D9</f>
        <v>0.0</v>
      </c>
      <c r="E10" s="40">
        <f>E8+E9</f>
        <v>0.0</v>
      </c>
      <c r="F10" s="40">
        <f>F8+F9</f>
        <v>0.0</v>
      </c>
      <c r="G10" s="40">
        <f>G8+G9</f>
        <v>0.0</v>
      </c>
      <c r="H10" s="40">
        <f>H8+H9</f>
        <v>0.0</v>
      </c>
      <c r="I10" s="40">
        <f>I8+I9</f>
        <v>0.0</v>
      </c>
      <c r="J10" s="40">
        <f>J8+J9</f>
        <v>0.0</v>
      </c>
      <c r="K10" s="40">
        <f>K8+K9</f>
        <v>0.0</v>
      </c>
      <c r="L10" s="40">
        <f>L8+L9</f>
        <v>0.0</v>
      </c>
      <c r="M10" s="40">
        <f>M8+M9</f>
        <v>0.0</v>
      </c>
      <c r="N10" s="40">
        <f>N8+N9</f>
        <v>0.0</v>
      </c>
      <c r="O10" s="40">
        <f>O8+O9</f>
        <v>0.0</v>
      </c>
      <c r="P10" s="40">
        <f>P8+P9</f>
        <v>0.0</v>
      </c>
      <c r="Q10" s="40">
        <f>Q8+Q9</f>
        <v>0.0</v>
      </c>
      <c r="R10" s="40">
        <f>R8+R9</f>
        <v>0.0</v>
      </c>
      <c r="S10" s="40">
        <f>S8+S9</f>
        <v>0.0</v>
      </c>
      <c r="T10" s="40">
        <f>T8+T9</f>
        <v>0.0</v>
      </c>
      <c r="U10" s="40">
        <f>U8+U9</f>
        <v>0.0</v>
      </c>
      <c r="V10" s="40">
        <f>V8+V9</f>
        <v>0.0</v>
      </c>
      <c r="W10" s="40">
        <f>W8+W9</f>
        <v>0.0</v>
      </c>
      <c r="X10" s="40">
        <f>X8+X9</f>
        <v>0.0</v>
      </c>
      <c r="Y10" s="40">
        <f>Y8+Y9</f>
        <v>0.0</v>
      </c>
      <c r="Z10" s="40">
        <f>Z8+Z9</f>
        <v>0.0</v>
      </c>
      <c r="AA10" s="40">
        <f>AA8+AA9</f>
        <v>0.0</v>
      </c>
      <c r="AB10" s="40">
        <f>AB8+AB9</f>
        <v>0.0</v>
      </c>
      <c r="AC10" s="40">
        <f>AC8+AC9</f>
        <v>0.0</v>
      </c>
      <c r="AD10" s="42">
        <f>AD8+AD9</f>
        <v>26767.86</v>
      </c>
      <c r="AE10" s="40">
        <f>AE8+AE9</f>
        <v>0.0</v>
      </c>
      <c r="AF10" s="40">
        <f>AF8+AF9</f>
        <v>0.0</v>
      </c>
      <c r="AG10" s="42">
        <f>AG8+AG9</f>
        <v>5438.49</v>
      </c>
      <c r="AH10" s="42">
        <f>AH8+AH9</f>
        <v>6563.5</v>
      </c>
      <c r="AI10" s="42">
        <f>AI8+AI9</f>
        <v>6565.8</v>
      </c>
      <c r="AJ10" s="42">
        <f>AJ8+AJ9</f>
        <v>12463.51</v>
      </c>
      <c r="AK10" s="42">
        <f>AK8+AK9</f>
        <v>6067.91</v>
      </c>
      <c r="AL10" s="42">
        <f>AL8+AL9</f>
        <v>7911.32</v>
      </c>
      <c r="AM10" s="42">
        <f>AM8+AM9</f>
        <v>9157.4</v>
      </c>
      <c r="AN10" s="42">
        <f>AN8+AN9</f>
        <v>9136.63</v>
      </c>
      <c r="AO10" s="42">
        <f>AO8+AO9</f>
        <v>10771.21</v>
      </c>
      <c r="AP10" s="42">
        <f>AP8+AP9</f>
        <v>26917.3</v>
      </c>
      <c r="AQ10" s="42">
        <f>AQ8+AQ9</f>
        <v>17044.24</v>
      </c>
      <c r="AR10" s="42">
        <f>AR8+AR9</f>
        <v>9120.24</v>
      </c>
      <c r="AS10" s="42">
        <f>AS8+AS9</f>
        <v>6617.33</v>
      </c>
      <c r="AT10" s="42">
        <f>AT8+AT9</f>
        <v>9190.86</v>
      </c>
      <c r="AU10" s="42">
        <f>AU8+AU9</f>
        <v>9703.15</v>
      </c>
      <c r="AV10" s="40">
        <f>AV8+AV9</f>
        <v>0.0</v>
      </c>
      <c r="AW10" s="42">
        <f>AW8+AW9</f>
        <v>6379.73</v>
      </c>
      <c r="AX10" s="42">
        <f>AX8+AX9</f>
        <v>4136.0</v>
      </c>
      <c r="AY10" s="42">
        <f>AY8+AY9</f>
        <v>9258.33</v>
      </c>
      <c r="AZ10" s="42">
        <f>AZ8+AZ9</f>
        <v>3395.01</v>
      </c>
      <c r="BA10" s="42">
        <f>BA8+BA9</f>
        <v>8795.09</v>
      </c>
      <c r="BB10" s="42">
        <f>BB8+BB9</f>
        <v>9226.14</v>
      </c>
      <c r="BC10" s="42">
        <f>BC8+BC9</f>
        <v>3661.34</v>
      </c>
      <c r="BD10" s="42">
        <f>BD8+BD9</f>
        <v>3367.55</v>
      </c>
      <c r="BE10" s="42">
        <f>BE8+BE9</f>
        <v>4486.65</v>
      </c>
      <c r="BF10" s="42">
        <f>BF8+BF9</f>
        <v>14626.53</v>
      </c>
      <c r="BG10" s="42">
        <f>BG8+BG9</f>
        <v>19851.25</v>
      </c>
      <c r="BH10" s="42">
        <f>BH8+BH9</f>
        <v>12894.27</v>
      </c>
      <c r="BI10" s="42">
        <f>BI8+BI9</f>
        <v>13349.57</v>
      </c>
      <c r="BJ10" s="42">
        <f>BJ8+BJ9</f>
        <v>3027.32</v>
      </c>
      <c r="BK10" s="40">
        <f>BK8+BK9</f>
        <v>0.0</v>
      </c>
      <c r="BL10" s="42">
        <f>BL8+BL9</f>
        <v>13220.22</v>
      </c>
      <c r="BM10" s="42">
        <f>BM8+BM9</f>
        <v>23517.76</v>
      </c>
      <c r="BN10" s="40">
        <f>BN8+BN9</f>
        <v>0.0</v>
      </c>
      <c r="BO10" s="40">
        <f>BO8+BO9</f>
        <v>0.0</v>
      </c>
      <c r="BP10" s="40">
        <f>BP8+BP9</f>
        <v>0.0</v>
      </c>
      <c r="BQ10" s="40">
        <f>BQ8+BQ9</f>
        <v>0.0</v>
      </c>
      <c r="BR10" s="40">
        <f>BR8+BR9</f>
        <v>0.0</v>
      </c>
      <c r="BS10" s="40">
        <f>B10+C10+D10+E10+F10+G10+H10+I10+J10+K10+L10+M10+N10+O10+P10+Q10+R10+S10+T10+U10+V10+W10+X10+Y10+Z10+AA10+AB10+AC10+AD10+AE10+AF10+AG10+AH10+AI10+AJ10+AK10+AL10+AM10+AN10+AO10+AP10+AQ10+AR10+AS10+AT10+AU10+AV10+AW10+AX10+AY10+AZ10+BA10+BB10+BC10+BD10+BE10+BF10+BG10+BH10+BI10+BJ10+BK10+BL10+BM10+BN10+BO10+BP10+BQ10+BR10</f>
        <v>332629.51</v>
      </c>
    </row>
    <row r="11" spans="1:71" ht="16">
      <c r="A11" s="32" t="s">
        <v>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41">
        <v>2039.04</v>
      </c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41">
        <f>B11+C11+D11+E11+F11+G11+H11+I11+J11+K11+L11+M11+N11+O11+P11+Q11+R11+S11+T11+U11+V11+W11+X11+Y11+Z11+AA11+AB11+AC11+AD11+AE11+AF11+AG11+AH11+AI11+AJ11+AK11+AL11+AM11+AN11+AO11+AP11+AQ11+AR11+AS11+AT11+AU11+AV11+AW11+AX11+AY11+AZ11+BA11+BB11+BC11+BD11+BE11+BF11+BG11+BH11+BI11+BJ11+BK11+BL11+BM11+BN11+BO11+BP11+BQ11+BR11</f>
        <v>2039.04</v>
      </c>
    </row>
    <row r="12" spans="1:71" ht="16">
      <c r="A12" s="32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41">
        <v>25306.11</v>
      </c>
      <c r="AZ12" s="39"/>
      <c r="BA12" s="41">
        <v>8212.44</v>
      </c>
      <c r="BB12" s="41">
        <v>6642.17</v>
      </c>
      <c r="BC12" s="39"/>
      <c r="BD12" s="41">
        <v>1567.37</v>
      </c>
      <c r="BE12" s="41">
        <v>3870.45</v>
      </c>
      <c r="BF12" s="39"/>
      <c r="BG12" s="41">
        <v>5805.86</v>
      </c>
      <c r="BH12" s="39"/>
      <c r="BI12" s="41">
        <v>12372.7</v>
      </c>
      <c r="BJ12" s="41">
        <v>8601.49</v>
      </c>
      <c r="BK12" s="41">
        <v>11178.79</v>
      </c>
      <c r="BL12" s="41">
        <v>5207.79</v>
      </c>
      <c r="BM12" s="41">
        <v>6775.37</v>
      </c>
      <c r="BN12" s="41">
        <v>7668.19</v>
      </c>
      <c r="BO12" s="41">
        <v>6062.79</v>
      </c>
      <c r="BP12" s="41">
        <v>5369.18</v>
      </c>
      <c r="BQ12" s="39"/>
      <c r="BR12" s="39"/>
      <c r="BS12" s="41">
        <f>B12+C12+D12+E12+F12+G12+H12+I12+J12+K12+L12+M12+N12+O12+P12+Q12+R12+S12+T12+U12+V12+W12+X12+Y12+Z12+AA12+AB12+AC12+AD12+AE12+AF12+AG12+AH12+AI12+AJ12+AK12+AL12+AM12+AN12+AO12+AP12+AQ12+AR12+AS12+AT12+AU12+AV12+AW12+AX12+AY12+AZ12+BA12+BB12+BC12+BD12+BE12+BF12+BG12+BH12+BI12+BJ12+BK12+BL12+BM12+BN12+BO12+BP12+BQ12+BR12</f>
        <v>114640.69999999998</v>
      </c>
    </row>
    <row r="13" spans="1:71" ht="16">
      <c r="A13" s="35" t="s">
        <v>10</v>
      </c>
      <c r="B13" s="40">
        <f>B6+B7+B10+B11+B12</f>
        <v>0.0</v>
      </c>
      <c r="C13" s="40">
        <f>C6+C7+C10+C11+C12</f>
        <v>0.0</v>
      </c>
      <c r="D13" s="40">
        <f>D6+D7+D10+D11+D12</f>
        <v>0.0</v>
      </c>
      <c r="E13" s="40">
        <f>E6+E7+E10+E11+E12</f>
        <v>0.0</v>
      </c>
      <c r="F13" s="40">
        <f>F6+F7+F10+F11+F12</f>
        <v>0.0</v>
      </c>
      <c r="G13" s="40">
        <f>G6+G7+G10+G11+G12</f>
        <v>0.0</v>
      </c>
      <c r="H13" s="40">
        <f>H6+H7+H10+H11+H12</f>
        <v>0.0</v>
      </c>
      <c r="I13" s="40">
        <f>I6+I7+I10+I11+I12</f>
        <v>0.0</v>
      </c>
      <c r="J13" s="40">
        <f>J6+J7+J10+J11+J12</f>
        <v>0.0</v>
      </c>
      <c r="K13" s="40">
        <f>K6+K7+K10+K11+K12</f>
        <v>0.0</v>
      </c>
      <c r="L13" s="40">
        <f>L6+L7+L10+L11+L12</f>
        <v>0.0</v>
      </c>
      <c r="M13" s="40">
        <f>M6+M7+M10+M11+M12</f>
        <v>0.0</v>
      </c>
      <c r="N13" s="40">
        <f>N6+N7+N10+N11+N12</f>
        <v>0.0</v>
      </c>
      <c r="O13" s="40">
        <f>O6+O7+O10+O11+O12</f>
        <v>0.0</v>
      </c>
      <c r="P13" s="40">
        <f>P6+P7+P10+P11+P12</f>
        <v>0.0</v>
      </c>
      <c r="Q13" s="40">
        <f>Q6+Q7+Q10+Q11+Q12</f>
        <v>0.0</v>
      </c>
      <c r="R13" s="40">
        <f>R6+R7+R10+R11+R12</f>
        <v>0.0</v>
      </c>
      <c r="S13" s="40">
        <f>S6+S7+S10+S11+S12</f>
        <v>0.0</v>
      </c>
      <c r="T13" s="40">
        <f>T6+T7+T10+T11+T12</f>
        <v>0.0</v>
      </c>
      <c r="U13" s="40">
        <f>U6+U7+U10+U11+U12</f>
        <v>0.0</v>
      </c>
      <c r="V13" s="40">
        <f>V6+V7+V10+V11+V12</f>
        <v>0.0</v>
      </c>
      <c r="W13" s="40">
        <f>W6+W7+W10+W11+W12</f>
        <v>0.0</v>
      </c>
      <c r="X13" s="40">
        <f>X6+X7+X10+X11+X12</f>
        <v>0.0</v>
      </c>
      <c r="Y13" s="40">
        <f>Y6+Y7+Y10+Y11+Y12</f>
        <v>0.0</v>
      </c>
      <c r="Z13" s="40">
        <f>Z6+Z7+Z10+Z11+Z12</f>
        <v>0.0</v>
      </c>
      <c r="AA13" s="40">
        <f>AA6+AA7+AA10+AA11+AA12</f>
        <v>0.0</v>
      </c>
      <c r="AB13" s="40">
        <f>AB6+AB7+AB10+AB11+AB12</f>
        <v>0.0</v>
      </c>
      <c r="AC13" s="40">
        <f>AC6+AC7+AC10+AC11+AC12</f>
        <v>0.0</v>
      </c>
      <c r="AD13" s="42">
        <f>AD6+AD7+AD10+AD11+AD12</f>
        <v>26767.86</v>
      </c>
      <c r="AE13" s="40">
        <f>AE6+AE7+AE10+AE11+AE12</f>
        <v>0.0</v>
      </c>
      <c r="AF13" s="40">
        <f>AF6+AF7+AF10+AF11+AF12</f>
        <v>0.0</v>
      </c>
      <c r="AG13" s="42">
        <f>AG6+AG7+AG10+AG11+AG12</f>
        <v>5438.49</v>
      </c>
      <c r="AH13" s="42">
        <f>AH6+AH7+AH10+AH11+AH12</f>
        <v>6563.5</v>
      </c>
      <c r="AI13" s="42">
        <f>AI6+AI7+AI10+AI11+AI12</f>
        <v>8604.84</v>
      </c>
      <c r="AJ13" s="42">
        <f>AJ6+AJ7+AJ10+AJ11+AJ12</f>
        <v>12463.51</v>
      </c>
      <c r="AK13" s="42">
        <f>AK6+AK7+AK10+AK11+AK12</f>
        <v>6067.91</v>
      </c>
      <c r="AL13" s="42">
        <f>AL6+AL7+AL10+AL11+AL12</f>
        <v>7911.32</v>
      </c>
      <c r="AM13" s="42">
        <f>AM6+AM7+AM10+AM11+AM12</f>
        <v>11549.48</v>
      </c>
      <c r="AN13" s="42">
        <f>AN6+AN7+AN10+AN11+AN12</f>
        <v>16549.11</v>
      </c>
      <c r="AO13" s="42">
        <f>AO6+AO7+AO10+AO11+AO12</f>
        <v>10771.21</v>
      </c>
      <c r="AP13" s="42">
        <f>AP6+AP7+AP10+AP11+AP12</f>
        <v>26917.3</v>
      </c>
      <c r="AQ13" s="42">
        <f>AQ6+AQ7+AQ10+AQ11+AQ12</f>
        <v>18225.510000000002</v>
      </c>
      <c r="AR13" s="42">
        <f>AR6+AR7+AR10+AR11+AR12</f>
        <v>9120.24</v>
      </c>
      <c r="AS13" s="42">
        <f>AS6+AS7+AS10+AS11+AS12</f>
        <v>6617.33</v>
      </c>
      <c r="AT13" s="42">
        <f>AT6+AT7+AT10+AT11+AT12</f>
        <v>9190.86</v>
      </c>
      <c r="AU13" s="42">
        <f>AU6+AU7+AU10+AU11+AU12</f>
        <v>9703.15</v>
      </c>
      <c r="AV13" s="42">
        <f>AV6+AV7+AV10+AV11+AV12</f>
        <v>1101.55</v>
      </c>
      <c r="AW13" s="42">
        <f>AW6+AW7+AW10+AW11+AW12</f>
        <v>7380.62</v>
      </c>
      <c r="AX13" s="42">
        <f>AX6+AX7+AX10+AX11+AX12</f>
        <v>5741.5</v>
      </c>
      <c r="AY13" s="42">
        <f>AY6+AY7+AY10+AY11+AY12</f>
        <v>34564.44</v>
      </c>
      <c r="AZ13" s="42">
        <f>AZ6+AZ7+AZ10+AZ11+AZ12</f>
        <v>3395.01</v>
      </c>
      <c r="BA13" s="42">
        <f>BA6+BA7+BA10+BA11+BA12</f>
        <v>17007.53</v>
      </c>
      <c r="BB13" s="42">
        <f>BB6+BB7+BB10+BB11+BB12</f>
        <v>15868.31</v>
      </c>
      <c r="BC13" s="42">
        <f>BC6+BC7+BC10+BC11+BC12</f>
        <v>3661.34</v>
      </c>
      <c r="BD13" s="42">
        <f>BD6+BD7+BD10+BD11+BD12</f>
        <v>8873.3</v>
      </c>
      <c r="BE13" s="42">
        <f>BE6+BE7+BE10+BE11+BE12</f>
        <v>8357.099999999999</v>
      </c>
      <c r="BF13" s="42">
        <f>BF6+BF7+BF10+BF11+BF12</f>
        <v>14626.53</v>
      </c>
      <c r="BG13" s="42">
        <f>BG6+BG7+BG10+BG11+BG12</f>
        <v>25657.11</v>
      </c>
      <c r="BH13" s="42">
        <f>BH6+BH7+BH10+BH11+BH12</f>
        <v>12894.27</v>
      </c>
      <c r="BI13" s="42">
        <f>BI6+BI7+BI10+BI11+BI12</f>
        <v>25722.27</v>
      </c>
      <c r="BJ13" s="42">
        <f>BJ6+BJ7+BJ10+BJ11+BJ12</f>
        <v>11628.81</v>
      </c>
      <c r="BK13" s="42">
        <f>BK6+BK7+BK10+BK11+BK12</f>
        <v>11178.79</v>
      </c>
      <c r="BL13" s="42">
        <f>BL6+BL7+BL10+BL11+BL12</f>
        <v>18428.01</v>
      </c>
      <c r="BM13" s="42">
        <f>BM6+BM7+BM10+BM11+BM12</f>
        <v>30293.129999999997</v>
      </c>
      <c r="BN13" s="42">
        <f>BN6+BN7+BN10+BN11+BN12</f>
        <v>12813.15</v>
      </c>
      <c r="BO13" s="42">
        <f>BO6+BO7+BO10+BO11+BO12</f>
        <v>17108.19</v>
      </c>
      <c r="BP13" s="42">
        <f>BP6+BP7+BP10+BP11+BP12</f>
        <v>20128.97</v>
      </c>
      <c r="BQ13" s="42">
        <f>BQ6+BQ7+BQ10+BQ11+BQ12</f>
        <v>11391.13</v>
      </c>
      <c r="BR13" s="40">
        <f>BR6+BR7+BR10+BR11+BR12</f>
        <v>0.0</v>
      </c>
      <c r="BS13" s="40">
        <f>B13+C13+D13+E13+F13+G13+H13+I13+J13+K13+L13+M13+N13+O13+P13+Q13+R13+S13+T13+U13+V13+W13+X13+Y13+Z13+AA13+AB13+AC13+AD13+AE13+AF13+AG13+AH13+AI13+AJ13+AK13+AL13+AM13+AN13+AO13+AP13+AQ13+AR13+AS13+AT13+AU13+AV13+AW13+AX13+AY13+AZ13+BA13+BB13+BC13+BD13+BE13+BF13+BG13+BH13+BI13+BJ13+BK13+BL13+BM13+BN13+BO13+BP13+BQ13+BR13</f>
        <v>510282.68000000005</v>
      </c>
    </row>
    <row r="14" spans="1:70" ht="16">
      <c r="A14" s="31" t="s">
        <v>11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</row>
    <row r="15" spans="1:71" ht="16">
      <c r="A15" s="32" t="s">
        <v>12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1">
        <v>8790.0</v>
      </c>
      <c r="AE15" s="39"/>
      <c r="AF15" s="41">
        <v>20475.81</v>
      </c>
      <c r="AG15" s="41">
        <v>24149.92</v>
      </c>
      <c r="AH15" s="41">
        <v>31376.64</v>
      </c>
      <c r="AI15" s="41">
        <v>1150.0</v>
      </c>
      <c r="AJ15" s="41">
        <v>32627.59</v>
      </c>
      <c r="AK15" s="41">
        <v>27340.0</v>
      </c>
      <c r="AL15" s="41">
        <v>708.75</v>
      </c>
      <c r="AM15" s="39"/>
      <c r="AN15" s="39"/>
      <c r="AO15" s="39"/>
      <c r="AP15" s="39"/>
      <c r="AQ15" s="41">
        <v>2600.0</v>
      </c>
      <c r="AR15" s="39"/>
      <c r="AS15" s="39"/>
      <c r="AT15" s="41">
        <v>3555.27</v>
      </c>
      <c r="AU15" s="41">
        <v>1725.0</v>
      </c>
      <c r="AV15" s="41">
        <v>10605.0</v>
      </c>
      <c r="AW15" s="39"/>
      <c r="AX15" s="39"/>
      <c r="AY15" s="41">
        <v>3025.0</v>
      </c>
      <c r="AZ15" s="41">
        <v>14850.0</v>
      </c>
      <c r="BA15" s="41">
        <v>3250.0</v>
      </c>
      <c r="BB15" s="41">
        <v>1000.0</v>
      </c>
      <c r="BC15" s="41">
        <v>15750.0</v>
      </c>
      <c r="BD15" s="39"/>
      <c r="BE15" s="39"/>
      <c r="BF15" s="41">
        <v>7487.5</v>
      </c>
      <c r="BG15" s="41">
        <v>15750.0</v>
      </c>
      <c r="BH15" s="39"/>
      <c r="BI15" s="41">
        <v>4200.0</v>
      </c>
      <c r="BJ15" s="39"/>
      <c r="BK15" s="41">
        <v>28900.0</v>
      </c>
      <c r="BL15" s="41">
        <v>5980.0</v>
      </c>
      <c r="BM15" s="39"/>
      <c r="BN15" s="41">
        <v>27657.5</v>
      </c>
      <c r="BO15" s="39"/>
      <c r="BP15" s="41">
        <v>7750.12</v>
      </c>
      <c r="BQ15" s="41">
        <v>4020.0</v>
      </c>
      <c r="BR15" s="39"/>
      <c r="BS15" s="41">
        <f>B15+C15+D15+E15+F15+G15+H15+I15+J15+K15+L15+M15+N15+O15+P15+Q15+R15+S15+T15+U15+V15+W15+X15+Y15+Z15+AA15+AB15+AC15+AD15+AE15+AF15+AG15+AH15+AI15+AJ15+AK15+AL15+AM15+AN15+AO15+AP15+AQ15+AR15+AS15+AT15+AU15+AV15+AW15+AX15+AY15+AZ15+BA15+BB15+BC15+BD15+BE15+BF15+BG15+BH15+BI15+BJ15+BK15+BL15+BM15+BN15+BO15+BP15+BQ15+BR15</f>
        <v>304724.1</v>
      </c>
    </row>
    <row r="16" spans="1:71" ht="16">
      <c r="A16" s="32" t="s">
        <v>13</v>
      </c>
      <c r="B16" s="39"/>
      <c r="C16" s="39"/>
      <c r="D16" s="39"/>
      <c r="E16" s="39"/>
      <c r="F16" s="39"/>
      <c r="G16" s="39"/>
      <c r="H16" s="39"/>
      <c r="I16" s="39"/>
      <c r="J16" s="39"/>
      <c r="K16" s="41">
        <v>331.59</v>
      </c>
      <c r="L16" s="39"/>
      <c r="M16" s="39"/>
      <c r="N16" s="39"/>
      <c r="O16" s="41">
        <v>538.81</v>
      </c>
      <c r="P16" s="41">
        <v>5309.75</v>
      </c>
      <c r="Q16" s="39"/>
      <c r="R16" s="41">
        <v>1310.75</v>
      </c>
      <c r="S16" s="41">
        <v>241.02</v>
      </c>
      <c r="T16" s="41">
        <v>8.25</v>
      </c>
      <c r="U16" s="41">
        <v>22.52</v>
      </c>
      <c r="V16" s="39"/>
      <c r="W16" s="39"/>
      <c r="X16" s="39"/>
      <c r="Y16" s="39"/>
      <c r="Z16" s="39"/>
      <c r="AA16" s="41">
        <v>5235.0</v>
      </c>
      <c r="AB16" s="39"/>
      <c r="AC16" s="41">
        <v>10610.0</v>
      </c>
      <c r="AD16" s="41">
        <v>1364.88</v>
      </c>
      <c r="AE16" s="41">
        <v>2700.0</v>
      </c>
      <c r="AF16" s="39"/>
      <c r="AG16" s="41">
        <v>1354.99</v>
      </c>
      <c r="AH16" s="41">
        <v>6660.0</v>
      </c>
      <c r="AI16" s="39"/>
      <c r="AJ16" s="41">
        <v>1437.32</v>
      </c>
      <c r="AK16" s="39"/>
      <c r="AL16" s="39"/>
      <c r="AM16" s="39"/>
      <c r="AN16" s="39"/>
      <c r="AO16" s="39"/>
      <c r="AP16" s="39"/>
      <c r="AQ16" s="41">
        <v>55.78</v>
      </c>
      <c r="AR16" s="39"/>
      <c r="AS16" s="39"/>
      <c r="AT16" s="39"/>
      <c r="AU16" s="39"/>
      <c r="AV16" s="39"/>
      <c r="AW16" s="41">
        <v>176.66</v>
      </c>
      <c r="AX16" s="39"/>
      <c r="AY16" s="39"/>
      <c r="AZ16" s="41">
        <v>469.18</v>
      </c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41">
        <f>B16+C16+D16+E16+F16+G16+H16+I16+J16+K16+L16+M16+N16+O16+P16+Q16+R16+S16+T16+U16+V16+W16+X16+Y16+Z16+AA16+AB16+AC16+AD16+AE16+AF16+AG16+AH16+AI16+AJ16+AK16+AL16+AM16+AN16+AO16+AP16+AQ16+AR16+AS16+AT16+AU16+AV16+AW16+AX16+AY16+AZ16+BA16+BB16+BC16+BD16+BE16+BF16+BG16+BH16+BI16+BJ16+BK16+BL16+BM16+BN16+BO16+BP16+BQ16+BR16</f>
        <v>37826.50000000001</v>
      </c>
    </row>
    <row r="17" spans="1:71" ht="16">
      <c r="A17" s="32" t="s">
        <v>14</v>
      </c>
      <c r="B17" s="39"/>
      <c r="C17" s="39"/>
      <c r="D17" s="39"/>
      <c r="E17" s="39"/>
      <c r="F17" s="41">
        <v>96.28</v>
      </c>
      <c r="G17" s="41">
        <v>4430.0</v>
      </c>
      <c r="H17" s="41">
        <v>4501.42</v>
      </c>
      <c r="I17" s="41">
        <v>5993.44</v>
      </c>
      <c r="J17" s="39"/>
      <c r="K17" s="41">
        <v>281.44</v>
      </c>
      <c r="L17" s="41">
        <v>23.04</v>
      </c>
      <c r="M17" s="41">
        <v>6312.5</v>
      </c>
      <c r="N17" s="39"/>
      <c r="O17" s="41">
        <v>138.92</v>
      </c>
      <c r="P17" s="39"/>
      <c r="Q17" s="39"/>
      <c r="R17" s="41">
        <v>263.75</v>
      </c>
      <c r="S17" s="41">
        <v>261.42</v>
      </c>
      <c r="T17" s="41">
        <v>768.73</v>
      </c>
      <c r="U17" s="41">
        <v>130.86</v>
      </c>
      <c r="V17" s="41">
        <v>16.07</v>
      </c>
      <c r="W17" s="41">
        <v>164.61</v>
      </c>
      <c r="X17" s="41">
        <v>203.49</v>
      </c>
      <c r="Y17" s="41">
        <v>213.78</v>
      </c>
      <c r="Z17" s="41">
        <v>648.21</v>
      </c>
      <c r="AA17" s="41">
        <v>396.84</v>
      </c>
      <c r="AB17" s="41">
        <v>29.71</v>
      </c>
      <c r="AC17" s="41">
        <v>463.58</v>
      </c>
      <c r="AD17" s="41">
        <v>195.02</v>
      </c>
      <c r="AE17" s="39"/>
      <c r="AF17" s="41">
        <v>392.03</v>
      </c>
      <c r="AG17" s="41">
        <v>807.29</v>
      </c>
      <c r="AH17" s="41">
        <v>1389.25</v>
      </c>
      <c r="AI17" s="41">
        <v>550.08</v>
      </c>
      <c r="AJ17" s="41">
        <v>590.24</v>
      </c>
      <c r="AK17" s="41">
        <v>507.03</v>
      </c>
      <c r="AL17" s="41">
        <v>390.17</v>
      </c>
      <c r="AM17" s="41">
        <v>530.97</v>
      </c>
      <c r="AN17" s="41">
        <v>240.74</v>
      </c>
      <c r="AO17" s="41">
        <v>1197.09</v>
      </c>
      <c r="AP17" s="41">
        <v>-388.49</v>
      </c>
      <c r="AQ17" s="41">
        <v>595.54</v>
      </c>
      <c r="AR17" s="41">
        <v>1466.37</v>
      </c>
      <c r="AS17" s="41">
        <v>58.44</v>
      </c>
      <c r="AT17" s="41">
        <v>156.15</v>
      </c>
      <c r="AU17" s="41">
        <v>29.55</v>
      </c>
      <c r="AV17" s="41">
        <v>320.94</v>
      </c>
      <c r="AW17" s="41">
        <v>94.24</v>
      </c>
      <c r="AX17" s="41">
        <v>391.65</v>
      </c>
      <c r="AY17" s="41">
        <v>411.13</v>
      </c>
      <c r="AZ17" s="41">
        <v>792.7</v>
      </c>
      <c r="BA17" s="41">
        <v>919.98</v>
      </c>
      <c r="BB17" s="41">
        <v>318.35</v>
      </c>
      <c r="BC17" s="41">
        <v>212.76</v>
      </c>
      <c r="BD17" s="39"/>
      <c r="BE17" s="39"/>
      <c r="BF17" s="41">
        <v>26.11</v>
      </c>
      <c r="BG17" s="41">
        <v>47.39</v>
      </c>
      <c r="BH17" s="41">
        <v>58.33</v>
      </c>
      <c r="BI17" s="41">
        <v>589.23</v>
      </c>
      <c r="BJ17" s="41">
        <v>88.7</v>
      </c>
      <c r="BK17" s="39"/>
      <c r="BL17" s="41">
        <v>76.19</v>
      </c>
      <c r="BM17" s="41">
        <v>63.0</v>
      </c>
      <c r="BN17" s="41">
        <v>769.6</v>
      </c>
      <c r="BO17" s="41">
        <v>50.32</v>
      </c>
      <c r="BP17" s="41">
        <v>340.35</v>
      </c>
      <c r="BQ17" s="41">
        <v>76.31</v>
      </c>
      <c r="BR17" s="41">
        <v>36.94</v>
      </c>
      <c r="BS17" s="41">
        <f>B17+C17+D17+E17+F17+G17+H17+I17+J17+K17+L17+M17+N17+O17+P17+Q17+R17+S17+T17+U17+V17+W17+X17+Y17+Z17+AA17+AB17+AC17+AD17+AE17+AF17+AG17+AH17+AI17+AJ17+AK17+AL17+AM17+AN17+AO17+AP17+AQ17+AR17+AS17+AT17+AU17+AV17+AW17+AX17+AY17+AZ17+BA17+BB17+BC17+BD17+BE17+BF17+BG17+BH17+BI17+BJ17+BK17+BL17+BM17+BN17+BO17+BP17+BQ17+BR17</f>
        <v>39729.78000000001</v>
      </c>
    </row>
    <row r="18" spans="1:71" ht="16">
      <c r="A18" s="32" t="s">
        <v>15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1">
        <v>670.9</v>
      </c>
      <c r="AB18" s="41">
        <v>246.56</v>
      </c>
      <c r="AC18" s="39"/>
      <c r="AD18" s="39"/>
      <c r="AE18" s="41">
        <v>702.72</v>
      </c>
      <c r="AF18" s="41">
        <v>245.79</v>
      </c>
      <c r="AG18" s="41">
        <v>48.69</v>
      </c>
      <c r="AH18" s="41">
        <v>200.0</v>
      </c>
      <c r="AI18" s="39"/>
      <c r="AJ18" s="41">
        <v>284.5</v>
      </c>
      <c r="AK18" s="41">
        <v>25000.0</v>
      </c>
      <c r="AL18" s="41">
        <v>150.0</v>
      </c>
      <c r="AM18" s="41">
        <v>1514.76</v>
      </c>
      <c r="AN18" s="41">
        <v>2083.27</v>
      </c>
      <c r="AO18" s="41">
        <v>3028.45</v>
      </c>
      <c r="AP18" s="41">
        <v>392.3</v>
      </c>
      <c r="AQ18" s="39"/>
      <c r="AR18" s="39"/>
      <c r="AS18" s="41">
        <v>522.48</v>
      </c>
      <c r="AT18" s="41">
        <v>475.95</v>
      </c>
      <c r="AU18" s="41">
        <v>2395.01</v>
      </c>
      <c r="AV18" s="41">
        <v>252.55</v>
      </c>
      <c r="AW18" s="39"/>
      <c r="AX18" s="39"/>
      <c r="AY18" s="41">
        <v>571.96</v>
      </c>
      <c r="AZ18" s="41">
        <v>305.74</v>
      </c>
      <c r="BA18" s="39"/>
      <c r="BB18" s="41">
        <v>702.08</v>
      </c>
      <c r="BC18" s="41">
        <v>975.0</v>
      </c>
      <c r="BD18" s="39"/>
      <c r="BE18" s="39"/>
      <c r="BF18" s="39"/>
      <c r="BG18" s="39"/>
      <c r="BH18" s="39"/>
      <c r="BI18" s="39"/>
      <c r="BJ18" s="39"/>
      <c r="BK18" s="39"/>
      <c r="BL18" s="39"/>
      <c r="BM18" s="41">
        <v>177.68</v>
      </c>
      <c r="BN18" s="39"/>
      <c r="BO18" s="41">
        <v>386.33</v>
      </c>
      <c r="BP18" s="39"/>
      <c r="BQ18" s="39"/>
      <c r="BR18" s="39"/>
      <c r="BS18" s="41">
        <f>B18+C18+D18+E18+F18+G18+H18+I18+J18+K18+L18+M18+N18+O18+P18+Q18+R18+S18+T18+U18+V18+W18+X18+Y18+Z18+AA18+AB18+AC18+AD18+AE18+AF18+AG18+AH18+AI18+AJ18+AK18+AL18+AM18+AN18+AO18+AP18+AQ18+AR18+AS18+AT18+AU18+AV18+AW18+AX18+AY18+AZ18+BA18+BB18+BC18+BD18+BE18+BF18+BG18+BH18+BI18+BJ18+BK18+BL18+BM18+BN18+BO18+BP18+BQ18+BR18</f>
        <v>41332.72000000001</v>
      </c>
    </row>
    <row r="19" spans="1:71" ht="16">
      <c r="A19" s="35" t="s">
        <v>16</v>
      </c>
      <c r="B19" s="40">
        <f>B14+B15+B16+B17+B18</f>
        <v>0.0</v>
      </c>
      <c r="C19" s="40">
        <f>C14+C15+C16+C17+C18</f>
        <v>0.0</v>
      </c>
      <c r="D19" s="40">
        <f>D14+D15+D16+D17+D18</f>
        <v>0.0</v>
      </c>
      <c r="E19" s="40">
        <f>E14+E15+E16+E17+E18</f>
        <v>0.0</v>
      </c>
      <c r="F19" s="42">
        <f>F14+F15+F16+F17+F18</f>
        <v>96.28</v>
      </c>
      <c r="G19" s="42">
        <f>G14+G15+G16+G17+G18</f>
        <v>4430.0</v>
      </c>
      <c r="H19" s="42">
        <f>H14+H15+H16+H17+H18</f>
        <v>4501.42</v>
      </c>
      <c r="I19" s="42">
        <f>I14+I15+I16+I17+I18</f>
        <v>5993.44</v>
      </c>
      <c r="J19" s="40">
        <f>J14+J15+J16+J17+J18</f>
        <v>0.0</v>
      </c>
      <c r="K19" s="42">
        <f>K14+K15+K16+K17+K18</f>
        <v>613.03</v>
      </c>
      <c r="L19" s="42">
        <f>L14+L15+L16+L17+L18</f>
        <v>23.04</v>
      </c>
      <c r="M19" s="42">
        <f>M14+M15+M16+M17+M18</f>
        <v>6312.5</v>
      </c>
      <c r="N19" s="40">
        <f>N14+N15+N16+N17+N18</f>
        <v>0.0</v>
      </c>
      <c r="O19" s="42">
        <f>O14+O15+O16+O17+O18</f>
        <v>677.7299999999999</v>
      </c>
      <c r="P19" s="42">
        <f>P14+P15+P16+P17+P18</f>
        <v>5309.75</v>
      </c>
      <c r="Q19" s="40">
        <f>Q14+Q15+Q16+Q17+Q18</f>
        <v>0.0</v>
      </c>
      <c r="R19" s="42">
        <f>R14+R15+R16+R17+R18</f>
        <v>1574.5</v>
      </c>
      <c r="S19" s="42">
        <f>S14+S15+S16+S17+S18</f>
        <v>502.44000000000005</v>
      </c>
      <c r="T19" s="42">
        <f>T14+T15+T16+T17+T18</f>
        <v>776.98</v>
      </c>
      <c r="U19" s="42">
        <f>U14+U15+U16+U17+U18</f>
        <v>153.38000000000002</v>
      </c>
      <c r="V19" s="42">
        <f>V14+V15+V16+V17+V18</f>
        <v>16.07</v>
      </c>
      <c r="W19" s="42">
        <f>W14+W15+W16+W17+W18</f>
        <v>164.61</v>
      </c>
      <c r="X19" s="42">
        <f>X14+X15+X16+X17+X18</f>
        <v>203.49</v>
      </c>
      <c r="Y19" s="42">
        <f>Y14+Y15+Y16+Y17+Y18</f>
        <v>213.78</v>
      </c>
      <c r="Z19" s="42">
        <f>Z14+Z15+Z16+Z17+Z18</f>
        <v>648.21</v>
      </c>
      <c r="AA19" s="42">
        <f>AA14+AA15+AA16+AA17+AA18</f>
        <v>6302.74</v>
      </c>
      <c r="AB19" s="42">
        <f>AB14+AB15+AB16+AB17+AB18</f>
        <v>276.27</v>
      </c>
      <c r="AC19" s="42">
        <f>AC14+AC15+AC16+AC17+AC18</f>
        <v>11073.58</v>
      </c>
      <c r="AD19" s="42">
        <f>AD14+AD15+AD16+AD17+AD18</f>
        <v>10349.900000000001</v>
      </c>
      <c r="AE19" s="42">
        <f>AE14+AE15+AE16+AE17+AE18</f>
        <v>3402.7200000000003</v>
      </c>
      <c r="AF19" s="42">
        <f>AF14+AF15+AF16+AF17+AF18</f>
        <v>21113.63</v>
      </c>
      <c r="AG19" s="42">
        <f>AG14+AG15+AG16+AG17+AG18</f>
        <v>26360.89</v>
      </c>
      <c r="AH19" s="42">
        <f>AH14+AH15+AH16+AH17+AH18</f>
        <v>39625.89</v>
      </c>
      <c r="AI19" s="42">
        <f>AI14+AI15+AI16+AI17+AI18</f>
        <v>1700.08</v>
      </c>
      <c r="AJ19" s="42">
        <f>AJ14+AJ15+AJ16+AJ17+AJ18</f>
        <v>34939.65</v>
      </c>
      <c r="AK19" s="42">
        <f>AK14+AK15+AK16+AK17+AK18</f>
        <v>52847.03</v>
      </c>
      <c r="AL19" s="42">
        <f>AL14+AL15+AL16+AL17+AL18</f>
        <v>1248.92</v>
      </c>
      <c r="AM19" s="42">
        <f>AM14+AM15+AM16+AM17+AM18</f>
        <v>2045.73</v>
      </c>
      <c r="AN19" s="42">
        <f>AN14+AN15+AN16+AN17+AN18</f>
        <v>2324.01</v>
      </c>
      <c r="AO19" s="42">
        <f>AO14+AO15+AO16+AO17+AO18</f>
        <v>4225.54</v>
      </c>
      <c r="AP19" s="42">
        <f>AP14+AP15+AP16+AP17+AP18</f>
        <v>3.8100000000000023</v>
      </c>
      <c r="AQ19" s="42">
        <f>AQ14+AQ15+AQ16+AQ17+AQ18</f>
        <v>3251.32</v>
      </c>
      <c r="AR19" s="42">
        <f>AR14+AR15+AR16+AR17+AR18</f>
        <v>1466.37</v>
      </c>
      <c r="AS19" s="42">
        <f>AS14+AS15+AS16+AS17+AS18</f>
        <v>580.9200000000001</v>
      </c>
      <c r="AT19" s="42">
        <f>AT14+AT15+AT16+AT17+AT18</f>
        <v>4187.37</v>
      </c>
      <c r="AU19" s="42">
        <f>AU14+AU15+AU16+AU17+AU18</f>
        <v>4149.56</v>
      </c>
      <c r="AV19" s="42">
        <f>AV14+AV15+AV16+AV17+AV18</f>
        <v>11178.49</v>
      </c>
      <c r="AW19" s="42">
        <f>AW14+AW15+AW16+AW17+AW18</f>
        <v>270.9</v>
      </c>
      <c r="AX19" s="42">
        <f>AX14+AX15+AX16+AX17+AX18</f>
        <v>391.65</v>
      </c>
      <c r="AY19" s="42">
        <f>AY14+AY15+AY16+AY17+AY18</f>
        <v>4008.09</v>
      </c>
      <c r="AZ19" s="42">
        <f>AZ14+AZ15+AZ16+AZ17+AZ18</f>
        <v>16417.620000000003</v>
      </c>
      <c r="BA19" s="42">
        <f>BA14+BA15+BA16+BA17+BA18</f>
        <v>4169.98</v>
      </c>
      <c r="BB19" s="42">
        <f>BB14+BB15+BB16+BB17+BB18</f>
        <v>2020.4299999999998</v>
      </c>
      <c r="BC19" s="42">
        <f>BC14+BC15+BC16+BC17+BC18</f>
        <v>16937.760000000002</v>
      </c>
      <c r="BD19" s="40">
        <f>BD14+BD15+BD16+BD17+BD18</f>
        <v>0.0</v>
      </c>
      <c r="BE19" s="40">
        <f>BE14+BE15+BE16+BE17+BE18</f>
        <v>0.0</v>
      </c>
      <c r="BF19" s="42">
        <f>BF14+BF15+BF16+BF17+BF18</f>
        <v>7513.61</v>
      </c>
      <c r="BG19" s="42">
        <f>BG14+BG15+BG16+BG17+BG18</f>
        <v>15797.39</v>
      </c>
      <c r="BH19" s="42">
        <f>BH14+BH15+BH16+BH17+BH18</f>
        <v>58.33</v>
      </c>
      <c r="BI19" s="42">
        <f>BI14+BI15+BI16+BI17+BI18</f>
        <v>4789.23</v>
      </c>
      <c r="BJ19" s="42">
        <f>BJ14+BJ15+BJ16+BJ17+BJ18</f>
        <v>88.7</v>
      </c>
      <c r="BK19" s="42">
        <f>BK14+BK15+BK16+BK17+BK18</f>
        <v>28900.0</v>
      </c>
      <c r="BL19" s="42">
        <f>BL14+BL15+BL16+BL17+BL18</f>
        <v>6056.19</v>
      </c>
      <c r="BM19" s="42">
        <f>BM14+BM15+BM16+BM17+BM18</f>
        <v>240.68</v>
      </c>
      <c r="BN19" s="42">
        <f>BN14+BN15+BN16+BN17+BN18</f>
        <v>28427.1</v>
      </c>
      <c r="BO19" s="42">
        <f>BO14+BO15+BO16+BO17+BO18</f>
        <v>436.65</v>
      </c>
      <c r="BP19" s="42">
        <f>BP14+BP15+BP16+BP17+BP18</f>
        <v>8090.47</v>
      </c>
      <c r="BQ19" s="42">
        <f>BQ14+BQ15+BQ16+BQ17+BQ18</f>
        <v>4096.31</v>
      </c>
      <c r="BR19" s="42">
        <f>BR14+BR15+BR16+BR17+BR18</f>
        <v>36.94</v>
      </c>
      <c r="BS19" s="40">
        <f>B19+C19+D19+E19+F19+G19+H19+I19+J19+K19+L19+M19+N19+O19+P19+Q19+R19+S19+T19+U19+V19+W19+X19+Y19+Z19+AA19+AB19+AC19+AD19+AE19+AF19+AG19+AH19+AI19+AJ19+AK19+AL19+AM19+AN19+AO19+AP19+AQ19+AR19+AS19+AT19+AU19+AV19+AW19+AX19+AY19+AZ19+BA19+BB19+BC19+BD19+BE19+BF19+BG19+BH19+BI19+BJ19+BK19+BL19+BM19+BN19+BO19+BP19+BQ19+BR19</f>
        <v>423613.1000000001</v>
      </c>
    </row>
    <row r="20" spans="1:71" ht="16">
      <c r="A20" s="35" t="s">
        <v>17</v>
      </c>
      <c r="B20" s="40">
        <f>B13-B19</f>
        <v>0.0</v>
      </c>
      <c r="C20" s="40">
        <f>C13-C19</f>
        <v>0.0</v>
      </c>
      <c r="D20" s="40">
        <f>D13-D19</f>
        <v>0.0</v>
      </c>
      <c r="E20" s="40">
        <f>E13-E19</f>
        <v>0.0</v>
      </c>
      <c r="F20" s="42">
        <f>F13-F19</f>
        <v>-96.28</v>
      </c>
      <c r="G20" s="42">
        <f>G13-G19</f>
        <v>-4430.0</v>
      </c>
      <c r="H20" s="42">
        <f>H13-H19</f>
        <v>-4501.42</v>
      </c>
      <c r="I20" s="42">
        <f>I13-I19</f>
        <v>-5993.44</v>
      </c>
      <c r="J20" s="40">
        <f>J13-J19</f>
        <v>0.0</v>
      </c>
      <c r="K20" s="42">
        <f>K13-K19</f>
        <v>-613.03</v>
      </c>
      <c r="L20" s="42">
        <f>L13-L19</f>
        <v>-23.04</v>
      </c>
      <c r="M20" s="42">
        <f>M13-M19</f>
        <v>-6312.5</v>
      </c>
      <c r="N20" s="40">
        <f>N13-N19</f>
        <v>0.0</v>
      </c>
      <c r="O20" s="42">
        <f>O13-O19</f>
        <v>-677.7299999999999</v>
      </c>
      <c r="P20" s="42">
        <f>P13-P19</f>
        <v>-5309.75</v>
      </c>
      <c r="Q20" s="40">
        <f>Q13-Q19</f>
        <v>0.0</v>
      </c>
      <c r="R20" s="42">
        <f>R13-R19</f>
        <v>-1574.5</v>
      </c>
      <c r="S20" s="42">
        <f>S13-S19</f>
        <v>-502.44000000000005</v>
      </c>
      <c r="T20" s="42">
        <f>T13-T19</f>
        <v>-776.98</v>
      </c>
      <c r="U20" s="42">
        <f>U13-U19</f>
        <v>-153.38000000000002</v>
      </c>
      <c r="V20" s="42">
        <f>V13-V19</f>
        <v>-16.07</v>
      </c>
      <c r="W20" s="42">
        <f>W13-W19</f>
        <v>-164.61</v>
      </c>
      <c r="X20" s="42">
        <f>X13-X19</f>
        <v>-203.49</v>
      </c>
      <c r="Y20" s="42">
        <f>Y13-Y19</f>
        <v>-213.78</v>
      </c>
      <c r="Z20" s="42">
        <f>Z13-Z19</f>
        <v>-648.21</v>
      </c>
      <c r="AA20" s="42">
        <f>AA13-AA19</f>
        <v>-6302.74</v>
      </c>
      <c r="AB20" s="42">
        <f>AB13-AB19</f>
        <v>-276.27</v>
      </c>
      <c r="AC20" s="42">
        <f>AC13-AC19</f>
        <v>-11073.58</v>
      </c>
      <c r="AD20" s="42">
        <f>AD13-AD19</f>
        <v>16417.96</v>
      </c>
      <c r="AE20" s="42">
        <f>AE13-AE19</f>
        <v>-3402.7200000000003</v>
      </c>
      <c r="AF20" s="42">
        <f>AF13-AF19</f>
        <v>-21113.63</v>
      </c>
      <c r="AG20" s="42">
        <f>AG13-AG19</f>
        <v>-20922.4</v>
      </c>
      <c r="AH20" s="42">
        <f>AH13-AH19</f>
        <v>-33062.39</v>
      </c>
      <c r="AI20" s="42">
        <f>AI13-AI19</f>
        <v>6904.76</v>
      </c>
      <c r="AJ20" s="42">
        <f>AJ13-AJ19</f>
        <v>-22476.14</v>
      </c>
      <c r="AK20" s="42">
        <f>AK13-AK19</f>
        <v>-46779.119999999995</v>
      </c>
      <c r="AL20" s="42">
        <f>AL13-AL19</f>
        <v>6662.4</v>
      </c>
      <c r="AM20" s="42">
        <f>AM13-AM19</f>
        <v>9503.75</v>
      </c>
      <c r="AN20" s="42">
        <f>AN13-AN19</f>
        <v>14225.1</v>
      </c>
      <c r="AO20" s="42">
        <f>AO13-AO19</f>
        <v>6545.669999999999</v>
      </c>
      <c r="AP20" s="42">
        <f>AP13-AP19</f>
        <v>26913.489999999998</v>
      </c>
      <c r="AQ20" s="42">
        <f>AQ13-AQ19</f>
        <v>14974.190000000002</v>
      </c>
      <c r="AR20" s="42">
        <f>AR13-AR19</f>
        <v>7653.87</v>
      </c>
      <c r="AS20" s="42">
        <f>AS13-AS19</f>
        <v>6036.41</v>
      </c>
      <c r="AT20" s="42">
        <f>AT13-AT19</f>
        <v>5003.490000000001</v>
      </c>
      <c r="AU20" s="42">
        <f>AU13-AU19</f>
        <v>5553.589999999999</v>
      </c>
      <c r="AV20" s="42">
        <f>AV13-AV19</f>
        <v>-10076.94</v>
      </c>
      <c r="AW20" s="42">
        <f>AW13-AW19</f>
        <v>7109.72</v>
      </c>
      <c r="AX20" s="42">
        <f>AX13-AX19</f>
        <v>5349.85</v>
      </c>
      <c r="AY20" s="42">
        <f>AY13-AY19</f>
        <v>30556.350000000002</v>
      </c>
      <c r="AZ20" s="42">
        <f>AZ13-AZ19</f>
        <v>-13022.610000000002</v>
      </c>
      <c r="BA20" s="42">
        <f>BA13-BA19</f>
        <v>12837.55</v>
      </c>
      <c r="BB20" s="42">
        <f>BB13-BB19</f>
        <v>13847.88</v>
      </c>
      <c r="BC20" s="42">
        <f>BC13-BC19</f>
        <v>-13276.420000000002</v>
      </c>
      <c r="BD20" s="42">
        <f>BD13-BD19</f>
        <v>8873.3</v>
      </c>
      <c r="BE20" s="42">
        <f>BE13-BE19</f>
        <v>8357.099999999999</v>
      </c>
      <c r="BF20" s="42">
        <f>BF13-BF19</f>
        <v>7112.920000000001</v>
      </c>
      <c r="BG20" s="42">
        <f>BG13-BG19</f>
        <v>9859.720000000001</v>
      </c>
      <c r="BH20" s="42">
        <f>BH13-BH19</f>
        <v>12835.94</v>
      </c>
      <c r="BI20" s="42">
        <f>BI13-BI19</f>
        <v>20933.04</v>
      </c>
      <c r="BJ20" s="42">
        <f>BJ13-BJ19</f>
        <v>11540.109999999999</v>
      </c>
      <c r="BK20" s="42">
        <f>BK13-BK19</f>
        <v>-17721.21</v>
      </c>
      <c r="BL20" s="42">
        <f>BL13-BL19</f>
        <v>12371.82</v>
      </c>
      <c r="BM20" s="42">
        <f>BM13-BM19</f>
        <v>30052.449999999997</v>
      </c>
      <c r="BN20" s="42">
        <f>BN13-BN19</f>
        <v>-15613.949999999999</v>
      </c>
      <c r="BO20" s="42">
        <f>BO13-BO19</f>
        <v>16671.539999999997</v>
      </c>
      <c r="BP20" s="42">
        <f>BP13-BP19</f>
        <v>12038.5</v>
      </c>
      <c r="BQ20" s="42">
        <f>BQ13-BQ19</f>
        <v>7294.819999999999</v>
      </c>
      <c r="BR20" s="42">
        <f>BR13-BR19</f>
        <v>-36.94</v>
      </c>
      <c r="BS20" s="40">
        <f>B20+C20+D20+E20+F20+G20+H20+I20+J20+K20+L20+M20+N20+O20+P20+Q20+R20+S20+T20+U20+V20+W20+X20+Y20+Z20+AA20+AB20+AC20+AD20+AE20+AF20+AG20+AH20+AI20+AJ20+AK20+AL20+AM20+AN20+AO20+AP20+AQ20+AR20+AS20+AT20+AU20+AV20+AW20+AX20+AY20+AZ20+BA20+BB20+BC20+BD20+BE20+BF20+BG20+BH20+BI20+BJ20+BK20+BL20+BM20+BN20+BO20+BP20+BQ20+BR20</f>
        <v>86669.58000000002</v>
      </c>
    </row>
    <row r="21" spans="1:70" ht="16">
      <c r="A21" s="31" t="s">
        <v>18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</row>
    <row r="22" spans="1:71" ht="16">
      <c r="A22" s="32" t="s">
        <v>19</v>
      </c>
      <c r="B22" s="39"/>
      <c r="C22" s="39"/>
      <c r="D22" s="39"/>
      <c r="E22" s="41">
        <v>500.0</v>
      </c>
      <c r="F22" s="41">
        <v>2094.24</v>
      </c>
      <c r="G22" s="41">
        <v>28735.28</v>
      </c>
      <c r="H22" s="39"/>
      <c r="I22" s="41">
        <v>7250.0</v>
      </c>
      <c r="J22" s="39"/>
      <c r="K22" s="41">
        <v>2500.0</v>
      </c>
      <c r="L22" s="41">
        <v>1920.0</v>
      </c>
      <c r="M22" s="41">
        <v>8286.59</v>
      </c>
      <c r="N22" s="41">
        <v>7723.11</v>
      </c>
      <c r="O22" s="41">
        <v>7250.0</v>
      </c>
      <c r="P22" s="41">
        <v>18455.22</v>
      </c>
      <c r="Q22" s="41">
        <v>8425.94</v>
      </c>
      <c r="R22" s="41">
        <v>9448.16</v>
      </c>
      <c r="S22" s="41">
        <v>8289.82</v>
      </c>
      <c r="T22" s="41">
        <v>1455.22</v>
      </c>
      <c r="U22" s="41">
        <v>10870.91</v>
      </c>
      <c r="V22" s="41">
        <v>2070.3</v>
      </c>
      <c r="W22" s="41">
        <v>3733.51</v>
      </c>
      <c r="X22" s="41">
        <v>2846.72</v>
      </c>
      <c r="Y22" s="41">
        <v>2316.86</v>
      </c>
      <c r="Z22" s="41">
        <v>4556.25</v>
      </c>
      <c r="AA22" s="41">
        <v>5036.69</v>
      </c>
      <c r="AB22" s="41">
        <v>3505.73</v>
      </c>
      <c r="AC22" s="41">
        <v>640.38</v>
      </c>
      <c r="AD22" s="41">
        <v>5370.28</v>
      </c>
      <c r="AE22" s="41">
        <v>8025.13</v>
      </c>
      <c r="AF22" s="41">
        <v>9961.13</v>
      </c>
      <c r="AG22" s="39"/>
      <c r="AH22" s="41">
        <v>4422.47</v>
      </c>
      <c r="AI22" s="41">
        <v>4103.01</v>
      </c>
      <c r="AJ22" s="41">
        <v>5991.68</v>
      </c>
      <c r="AK22" s="41">
        <v>1124.34</v>
      </c>
      <c r="AL22" s="41">
        <v>2039.01</v>
      </c>
      <c r="AM22" s="41">
        <v>897.2</v>
      </c>
      <c r="AN22" s="41">
        <v>524.07</v>
      </c>
      <c r="AO22" s="41">
        <v>3520.04</v>
      </c>
      <c r="AP22" s="41">
        <v>2492.14</v>
      </c>
      <c r="AQ22" s="41">
        <v>1718.77</v>
      </c>
      <c r="AR22" s="41">
        <v>1071.0</v>
      </c>
      <c r="AS22" s="41">
        <v>2194.69</v>
      </c>
      <c r="AT22" s="41">
        <v>1920.83</v>
      </c>
      <c r="AU22" s="41">
        <v>525.0</v>
      </c>
      <c r="AV22" s="41">
        <v>1668.31</v>
      </c>
      <c r="AW22" s="41">
        <v>3240.5</v>
      </c>
      <c r="AX22" s="41">
        <v>1273.92</v>
      </c>
      <c r="AY22" s="41">
        <v>3978.75</v>
      </c>
      <c r="AZ22" s="41">
        <v>2686.41</v>
      </c>
      <c r="BA22" s="41">
        <v>5677.05</v>
      </c>
      <c r="BB22" s="41">
        <v>667.14</v>
      </c>
      <c r="BC22" s="41">
        <v>1692.18</v>
      </c>
      <c r="BD22" s="41">
        <v>1351.42</v>
      </c>
      <c r="BE22" s="41">
        <v>2066.96</v>
      </c>
      <c r="BF22" s="41">
        <v>899.09</v>
      </c>
      <c r="BG22" s="41">
        <v>1831.0</v>
      </c>
      <c r="BH22" s="41">
        <v>3436.73</v>
      </c>
      <c r="BI22" s="41">
        <v>2721.0</v>
      </c>
      <c r="BJ22" s="41">
        <v>8460.0</v>
      </c>
      <c r="BK22" s="41">
        <v>-833.33</v>
      </c>
      <c r="BL22" s="41">
        <v>2797.0</v>
      </c>
      <c r="BM22" s="41">
        <v>846.33</v>
      </c>
      <c r="BN22" s="41">
        <v>1912.31</v>
      </c>
      <c r="BO22" s="41">
        <v>1890.4</v>
      </c>
      <c r="BP22" s="41">
        <v>1906.0</v>
      </c>
      <c r="BQ22" s="41">
        <v>2310.06</v>
      </c>
      <c r="BR22" s="39"/>
      <c r="BS22" s="41">
        <f>B22+C22+D22+E22+F22+G22+H22+I22+J22+K22+L22+M22+N22+O22+P22+Q22+R22+S22+T22+U22+V22+W22+X22+Y22+Z22+AA22+AB22+AC22+AD22+AE22+AF22+AG22+AH22+AI22+AJ22+AK22+AL22+AM22+AN22+AO22+AP22+AQ22+AR22+AS22+AT22+AU22+AV22+AW22+AX22+AY22+AZ22+BA22+BB22+BC22+BD22+BE22+BF22+BG22+BH22+BI22+BJ22+BK22+BL22+BM22+BN22+BO22+BP22+BQ22+BR22</f>
        <v>256290.95000000007</v>
      </c>
    </row>
    <row r="23" spans="1:71" ht="16">
      <c r="A23" s="32" t="s">
        <v>20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41">
        <v>19.53</v>
      </c>
      <c r="V23" s="41">
        <v>65.32</v>
      </c>
      <c r="W23" s="39"/>
      <c r="X23" s="39"/>
      <c r="Y23" s="41">
        <v>147.15</v>
      </c>
      <c r="Z23" s="39"/>
      <c r="AA23" s="39"/>
      <c r="AB23" s="41">
        <v>83.36</v>
      </c>
      <c r="AC23" s="41">
        <v>66.57</v>
      </c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41">
        <f>B23+C23+D23+E23+F23+G23+H23+I23+J23+K23+L23+M23+N23+O23+P23+Q23+R23+S23+T23+U23+V23+W23+X23+Y23+Z23+AA23+AB23+AC23+AD23+AE23+AF23+AG23+AH23+AI23+AJ23+AK23+AL23+AM23+AN23+AO23+AP23+AQ23+AR23+AS23+AT23+AU23+AV23+AW23+AX23+AY23+AZ23+BA23+BB23+BC23+BD23+BE23+BF23+BG23+BH23+BI23+BJ23+BK23+BL23+BM23+BN23+BO23+BP23+BQ23+BR23</f>
        <v>381.93</v>
      </c>
    </row>
    <row r="24" spans="1:71" ht="16">
      <c r="A24" s="32" t="s">
        <v>21</v>
      </c>
      <c r="B24" s="41">
        <v>30.0</v>
      </c>
      <c r="C24" s="41">
        <v>15.0</v>
      </c>
      <c r="D24" s="39"/>
      <c r="E24" s="41">
        <v>15.0</v>
      </c>
      <c r="F24" s="41">
        <v>45.0</v>
      </c>
      <c r="G24" s="41">
        <v>61.0</v>
      </c>
      <c r="H24" s="41">
        <v>27.0</v>
      </c>
      <c r="I24" s="41">
        <v>44.0</v>
      </c>
      <c r="J24" s="39"/>
      <c r="K24" s="41">
        <v>17.0</v>
      </c>
      <c r="L24" s="41">
        <v>211.3</v>
      </c>
      <c r="M24" s="41">
        <v>27.0</v>
      </c>
      <c r="N24" s="41">
        <v>17.0</v>
      </c>
      <c r="O24" s="41">
        <v>17.0</v>
      </c>
      <c r="P24" s="41">
        <v>108.0</v>
      </c>
      <c r="Q24" s="41">
        <v>83.45</v>
      </c>
      <c r="R24" s="41">
        <v>71.0</v>
      </c>
      <c r="S24" s="41">
        <v>64.0</v>
      </c>
      <c r="T24" s="41">
        <v>17.0</v>
      </c>
      <c r="U24" s="41">
        <v>115.0</v>
      </c>
      <c r="V24" s="41">
        <v>17.0</v>
      </c>
      <c r="W24" s="41">
        <v>17.0</v>
      </c>
      <c r="X24" s="41">
        <v>319.19</v>
      </c>
      <c r="Y24" s="41">
        <v>56.02</v>
      </c>
      <c r="Z24" s="41">
        <v>105.96</v>
      </c>
      <c r="AA24" s="39"/>
      <c r="AB24" s="41">
        <v>141.67</v>
      </c>
      <c r="AC24" s="41">
        <v>54.88</v>
      </c>
      <c r="AD24" s="41">
        <v>91.71</v>
      </c>
      <c r="AE24" s="41">
        <v>49.0</v>
      </c>
      <c r="AF24" s="41">
        <v>47.0</v>
      </c>
      <c r="AG24" s="41">
        <v>394.53</v>
      </c>
      <c r="AH24" s="41">
        <v>174.25</v>
      </c>
      <c r="AI24" s="41">
        <v>102.51</v>
      </c>
      <c r="AJ24" s="41">
        <v>81.0</v>
      </c>
      <c r="AK24" s="41">
        <v>49.0</v>
      </c>
      <c r="AL24" s="41">
        <v>17.0</v>
      </c>
      <c r="AM24" s="41">
        <v>17.0</v>
      </c>
      <c r="AN24" s="41">
        <v>15.0</v>
      </c>
      <c r="AO24" s="41">
        <v>32.1</v>
      </c>
      <c r="AP24" s="41">
        <v>64.0</v>
      </c>
      <c r="AQ24" s="41">
        <v>32.0</v>
      </c>
      <c r="AR24" s="41">
        <v>49.0</v>
      </c>
      <c r="AS24" s="41">
        <v>17.0</v>
      </c>
      <c r="AT24" s="41">
        <v>51.0</v>
      </c>
      <c r="AU24" s="41">
        <v>49.0</v>
      </c>
      <c r="AV24" s="41">
        <v>49.0</v>
      </c>
      <c r="AW24" s="41">
        <v>67.0</v>
      </c>
      <c r="AX24" s="41">
        <v>15.0</v>
      </c>
      <c r="AY24" s="41">
        <v>113.0</v>
      </c>
      <c r="AZ24" s="41">
        <v>86.0</v>
      </c>
      <c r="BA24" s="41">
        <v>96.03</v>
      </c>
      <c r="BB24" s="41">
        <v>32.0</v>
      </c>
      <c r="BC24" s="41">
        <v>-167.86</v>
      </c>
      <c r="BD24" s="41">
        <v>330.86</v>
      </c>
      <c r="BE24" s="41">
        <v>32.0</v>
      </c>
      <c r="BF24" s="41">
        <v>49.0</v>
      </c>
      <c r="BG24" s="41">
        <v>94.0</v>
      </c>
      <c r="BH24" s="39"/>
      <c r="BI24" s="41">
        <v>64.0</v>
      </c>
      <c r="BJ24" s="41">
        <v>32.0</v>
      </c>
      <c r="BK24" s="41">
        <v>83.0</v>
      </c>
      <c r="BL24" s="41">
        <v>32.0</v>
      </c>
      <c r="BM24" s="41">
        <v>30.0</v>
      </c>
      <c r="BN24" s="41">
        <v>182.54</v>
      </c>
      <c r="BO24" s="41">
        <v>15.0</v>
      </c>
      <c r="BP24" s="41">
        <v>49.0</v>
      </c>
      <c r="BQ24" s="41">
        <v>17.0</v>
      </c>
      <c r="BR24" s="39"/>
      <c r="BS24" s="41">
        <f>B24+C24+D24+E24+F24+G24+H24+I24+J24+K24+L24+M24+N24+O24+P24+Q24+R24+S24+T24+U24+V24+W24+X24+Y24+Z24+AA24+AB24+AC24+AD24+AE24+AF24+AG24+AH24+AI24+AJ24+AK24+AL24+AM24+AN24+AO24+AP24+AQ24+AR24+AS24+AT24+AU24+AV24+AW24+AX24+AY24+AZ24+BA24+BB24+BC24+BD24+BE24+BF24+BG24+BH24+BI24+BJ24+BK24+BL24+BM24+BN24+BO24+BP24+BQ24+BR24</f>
        <v>4329.14</v>
      </c>
    </row>
    <row r="25" spans="1:71" ht="16">
      <c r="A25" s="32" t="s">
        <v>22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41">
        <v>5030.0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41">
        <v>5288.05</v>
      </c>
      <c r="Y25" s="39"/>
      <c r="Z25" s="39"/>
      <c r="AA25" s="39"/>
      <c r="AB25" s="39"/>
      <c r="AC25" s="39"/>
      <c r="AD25" s="39"/>
      <c r="AE25" s="39"/>
      <c r="AF25" s="39"/>
      <c r="AG25" s="41">
        <v>467.8</v>
      </c>
      <c r="AH25" s="39"/>
      <c r="AI25" s="39"/>
      <c r="AJ25" s="41">
        <v>1030.0</v>
      </c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41">
        <v>1000.0</v>
      </c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1">
        <v>257.5</v>
      </c>
      <c r="BJ25" s="39"/>
      <c r="BK25" s="39"/>
      <c r="BL25" s="41">
        <v>130.95</v>
      </c>
      <c r="BM25" s="41">
        <v>26.25</v>
      </c>
      <c r="BN25" s="41">
        <v>26.25</v>
      </c>
      <c r="BO25" s="41">
        <v>26.25</v>
      </c>
      <c r="BP25" s="41">
        <v>26.25</v>
      </c>
      <c r="BQ25" s="41">
        <v>26.25</v>
      </c>
      <c r="BR25" s="39"/>
      <c r="BS25" s="41">
        <f>B25+C25+D25+E25+F25+G25+H25+I25+J25+K25+L25+M25+N25+O25+P25+Q25+R25+S25+T25+U25+V25+W25+X25+Y25+Z25+AA25+AB25+AC25+AD25+AE25+AF25+AG25+AH25+AI25+AJ25+AK25+AL25+AM25+AN25+AO25+AP25+AQ25+AR25+AS25+AT25+AU25+AV25+AW25+AX25+AY25+AZ25+BA25+BB25+BC25+BD25+BE25+BF25+BG25+BH25+BI25+BJ25+BK25+BL25+BM25+BN25+BO25+BP25+BQ25+BR25</f>
        <v>13335.55</v>
      </c>
    </row>
    <row r="26" spans="1:71" ht="16">
      <c r="A26" s="32" t="s">
        <v>23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1">
        <v>15000.0</v>
      </c>
      <c r="AA26" s="39"/>
      <c r="AB26" s="39"/>
      <c r="AC26" s="39"/>
      <c r="AD26" s="41">
        <v>1362.75</v>
      </c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41">
        <f>B26+C26+D26+E26+F26+G26+H26+I26+J26+K26+L26+M26+N26+O26+P26+Q26+R26+S26+T26+U26+V26+W26+X26+Y26+Z26+AA26+AB26+AC26+AD26+AE26+AF26+AG26+AH26+AI26+AJ26+AK26+AL26+AM26+AN26+AO26+AP26+AQ26+AR26+AS26+AT26+AU26+AV26+AW26+AX26+AY26+AZ26+BA26+BB26+BC26+BD26+BE26+BF26+BG26+BH26+BI26+BJ26+BK26+BL26+BM26+BN26+BO26+BP26+BQ26+BR26</f>
        <v>16362.75</v>
      </c>
    </row>
    <row r="27" spans="1:71" ht="16">
      <c r="A27" s="32" t="s">
        <v>24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1">
        <v>216.0</v>
      </c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41">
        <v>191.76</v>
      </c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41">
        <v>103.0</v>
      </c>
      <c r="BR27" s="39"/>
      <c r="BS27" s="41">
        <f>B27+C27+D27+E27+F27+G27+H27+I27+J27+K27+L27+M27+N27+O27+P27+Q27+R27+S27+T27+U27+V27+W27+X27+Y27+Z27+AA27+AB27+AC27+AD27+AE27+AF27+AG27+AH27+AI27+AJ27+AK27+AL27+AM27+AN27+AO27+AP27+AQ27+AR27+AS27+AT27+AU27+AV27+AW27+AX27+AY27+AZ27+BA27+BB27+BC27+BD27+BE27+BF27+BG27+BH27+BI27+BJ27+BK27+BL27+BM27+BN27+BO27+BP27+BQ27+BR27</f>
        <v>510.76</v>
      </c>
    </row>
    <row r="28" spans="1:71" ht="16">
      <c r="A28" s="32" t="s">
        <v>25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41">
        <v>39.95</v>
      </c>
      <c r="AC28" s="39"/>
      <c r="AD28" s="39"/>
      <c r="AE28" s="41">
        <v>250.0</v>
      </c>
      <c r="AF28" s="39"/>
      <c r="AG28" s="39"/>
      <c r="AH28" s="39"/>
      <c r="AI28" s="39"/>
      <c r="AJ28" s="41">
        <v>365.0</v>
      </c>
      <c r="AK28" s="39"/>
      <c r="AL28" s="39"/>
      <c r="AM28" s="39"/>
      <c r="AN28" s="39"/>
      <c r="AO28" s="41">
        <v>42.89</v>
      </c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41">
        <v>39.93</v>
      </c>
      <c r="BK28" s="39"/>
      <c r="BL28" s="39"/>
      <c r="BM28" s="39"/>
      <c r="BN28" s="39"/>
      <c r="BO28" s="39"/>
      <c r="BP28" s="39"/>
      <c r="BQ28" s="39"/>
      <c r="BR28" s="39"/>
      <c r="BS28" s="41">
        <f>B28+C28+D28+E28+F28+G28+H28+I28+J28+K28+L28+M28+N28+O28+P28+Q28+R28+S28+T28+U28+V28+W28+X28+Y28+Z28+AA28+AB28+AC28+AD28+AE28+AF28+AG28+AH28+AI28+AJ28+AK28+AL28+AM28+AN28+AO28+AP28+AQ28+AR28+AS28+AT28+AU28+AV28+AW28+AX28+AY28+AZ28+BA28+BB28+BC28+BD28+BE28+BF28+BG28+BH28+BI28+BJ28+BK28+BL28+BM28+BN28+BO28+BP28+BQ28+BR28</f>
        <v>737.77</v>
      </c>
    </row>
    <row r="29" spans="1:71" ht="16">
      <c r="A29" s="32" t="s">
        <v>26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1">
        <v>1447.18</v>
      </c>
      <c r="AN29" s="41">
        <v>208.01</v>
      </c>
      <c r="AO29" s="39"/>
      <c r="AP29" s="41">
        <v>416.02</v>
      </c>
      <c r="AQ29" s="41">
        <v>208.01</v>
      </c>
      <c r="AR29" s="41">
        <v>208.01</v>
      </c>
      <c r="AS29" s="41">
        <v>208.01</v>
      </c>
      <c r="AT29" s="41">
        <v>208.01</v>
      </c>
      <c r="AU29" s="41">
        <v>208.01</v>
      </c>
      <c r="AV29" s="39"/>
      <c r="AW29" s="41">
        <v>230.26</v>
      </c>
      <c r="AX29" s="39"/>
      <c r="AY29" s="41">
        <v>1197.26</v>
      </c>
      <c r="AZ29" s="41">
        <v>216.71</v>
      </c>
      <c r="BA29" s="41">
        <v>206.39</v>
      </c>
      <c r="BB29" s="41">
        <v>206.39</v>
      </c>
      <c r="BC29" s="41">
        <v>206.39</v>
      </c>
      <c r="BD29" s="41">
        <v>206.39</v>
      </c>
      <c r="BE29" s="41">
        <v>206.39</v>
      </c>
      <c r="BF29" s="41">
        <v>206.39</v>
      </c>
      <c r="BG29" s="41">
        <v>206.39</v>
      </c>
      <c r="BH29" s="41">
        <v>206.39</v>
      </c>
      <c r="BI29" s="41">
        <v>206.39</v>
      </c>
      <c r="BJ29" s="39"/>
      <c r="BK29" s="39"/>
      <c r="BL29" s="41">
        <v>3143.04</v>
      </c>
      <c r="BM29" s="39"/>
      <c r="BN29" s="39"/>
      <c r="BO29" s="39"/>
      <c r="BP29" s="39"/>
      <c r="BQ29" s="39"/>
      <c r="BR29" s="39"/>
      <c r="BS29" s="41">
        <f>B29+C29+D29+E29+F29+G29+H29+I29+J29+K29+L29+M29+N29+O29+P29+Q29+R29+S29+T29+U29+V29+W29+X29+Y29+Z29+AA29+AB29+AC29+AD29+AE29+AF29+AG29+AH29+AI29+AJ29+AK29+AL29+AM29+AN29+AO29+AP29+AQ29+AR29+AS29+AT29+AU29+AV29+AW29+AX29+AY29+AZ29+BA29+BB29+BC29+BD29+BE29+BF29+BG29+BH29+BI29+BJ29+BK29+BL29+BM29+BN29+BO29+BP29+BQ29+BR29</f>
        <v>9756.040000000005</v>
      </c>
    </row>
    <row r="30" spans="1:71" ht="16">
      <c r="A30" s="32" t="s">
        <v>27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41">
        <v>69.46</v>
      </c>
      <c r="V30" s="41">
        <v>48.23</v>
      </c>
      <c r="W30" s="39"/>
      <c r="X30" s="39"/>
      <c r="Y30" s="39"/>
      <c r="Z30" s="41">
        <v>56.06</v>
      </c>
      <c r="AA30" s="41">
        <v>81.87</v>
      </c>
      <c r="AB30" s="41">
        <v>85.36</v>
      </c>
      <c r="AC30" s="41">
        <v>134.68</v>
      </c>
      <c r="AD30" s="41">
        <v>137.99</v>
      </c>
      <c r="AE30" s="41">
        <v>246.03</v>
      </c>
      <c r="AF30" s="41">
        <v>263.88</v>
      </c>
      <c r="AG30" s="41">
        <v>178.48</v>
      </c>
      <c r="AH30" s="41">
        <v>189.75</v>
      </c>
      <c r="AI30" s="41">
        <v>188.35</v>
      </c>
      <c r="AJ30" s="41">
        <v>251.5</v>
      </c>
      <c r="AK30" s="41">
        <v>250.99</v>
      </c>
      <c r="AL30" s="41">
        <v>257.82</v>
      </c>
      <c r="AM30" s="41">
        <v>247.55</v>
      </c>
      <c r="AN30" s="41">
        <v>246.96</v>
      </c>
      <c r="AO30" s="41">
        <v>255.33</v>
      </c>
      <c r="AP30" s="41">
        <v>253.15</v>
      </c>
      <c r="AQ30" s="41">
        <v>267.62</v>
      </c>
      <c r="AR30" s="41">
        <v>238.65</v>
      </c>
      <c r="AS30" s="41">
        <v>256.76</v>
      </c>
      <c r="AT30" s="41">
        <v>249.75</v>
      </c>
      <c r="AU30" s="41">
        <v>224.51</v>
      </c>
      <c r="AV30" s="41">
        <v>232.24</v>
      </c>
      <c r="AW30" s="41">
        <v>219.59</v>
      </c>
      <c r="AX30" s="41">
        <v>211.65</v>
      </c>
      <c r="AY30" s="41">
        <v>234.39</v>
      </c>
      <c r="AZ30" s="41">
        <v>210.52</v>
      </c>
      <c r="BA30" s="41">
        <v>214.61</v>
      </c>
      <c r="BB30" s="41">
        <v>220.89</v>
      </c>
      <c r="BC30" s="41">
        <v>227.28</v>
      </c>
      <c r="BD30" s="41">
        <v>210.84</v>
      </c>
      <c r="BE30" s="41">
        <v>225.78</v>
      </c>
      <c r="BF30" s="41">
        <v>184.22</v>
      </c>
      <c r="BG30" s="41">
        <v>186.42</v>
      </c>
      <c r="BH30" s="41">
        <v>200.64</v>
      </c>
      <c r="BI30" s="41">
        <v>173.27</v>
      </c>
      <c r="BJ30" s="41">
        <v>179.79</v>
      </c>
      <c r="BK30" s="41">
        <v>170.26</v>
      </c>
      <c r="BL30" s="41">
        <v>164.11</v>
      </c>
      <c r="BM30" s="41">
        <v>174.52</v>
      </c>
      <c r="BN30" s="41">
        <v>63.53</v>
      </c>
      <c r="BO30" s="41">
        <v>177.84</v>
      </c>
      <c r="BP30" s="41">
        <v>174.85</v>
      </c>
      <c r="BQ30" s="41">
        <v>189.08</v>
      </c>
      <c r="BR30" s="41">
        <v>175.29</v>
      </c>
      <c r="BS30" s="41">
        <f>B30+C30+D30+E30+F30+G30+H30+I30+J30+K30+L30+M30+N30+O30+P30+Q30+R30+S30+T30+U30+V30+W30+X30+Y30+Z30+AA30+AB30+AC30+AD30+AE30+AF30+AG30+AH30+AI30+AJ30+AK30+AL30+AM30+AN30+AO30+AP30+AQ30+AR30+AS30+AT30+AU30+AV30+AW30+AX30+AY30+AZ30+BA30+BB30+BC30+BD30+BE30+BF30+BG30+BH30+BI30+BJ30+BK30+BL30+BM30+BN30+BO30+BP30+BQ30+BR30</f>
        <v>9102.340000000004</v>
      </c>
    </row>
    <row r="31" spans="1:71" ht="16">
      <c r="A31" s="32" t="s">
        <v>28</v>
      </c>
      <c r="B31" s="39"/>
      <c r="C31" s="39"/>
      <c r="D31" s="39"/>
      <c r="E31" s="41">
        <v>824.29</v>
      </c>
      <c r="F31" s="39"/>
      <c r="G31" s="41">
        <v>281.67</v>
      </c>
      <c r="H31" s="39"/>
      <c r="I31" s="39"/>
      <c r="J31" s="39"/>
      <c r="K31" s="39"/>
      <c r="L31" s="41">
        <v>49.54</v>
      </c>
      <c r="M31" s="41">
        <v>1950.0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41">
        <f>B31+C31+D31+E31+F31+G31+H31+I31+J31+K31+L31+M31+N31+O31+P31+Q31+R31+S31+T31+U31+V31+W31+X31+Y31+Z31+AA31+AB31+AC31+AD31+AE31+AF31+AG31+AH31+AI31+AJ31+AK31+AL31+AM31+AN31+AO31+AP31+AQ31+AR31+AS31+AT31+AU31+AV31+AW31+AX31+AY31+AZ31+BA31+BB31+BC31+BD31+BE31+BF31+BG31+BH31+BI31+BJ31+BK31+BL31+BM31+BN31+BO31+BP31+BQ31+BR31</f>
        <v>3105.5</v>
      </c>
    </row>
    <row r="32" spans="1:71" ht="16">
      <c r="A32" s="32" t="s">
        <v>29</v>
      </c>
      <c r="B32" s="39"/>
      <c r="C32" s="39"/>
      <c r="D32" s="39"/>
      <c r="E32" s="39"/>
      <c r="F32" s="41">
        <v>2497.0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41">
        <f>B32+C32+D32+E32+F32+G32+H32+I32+J32+K32+L32+M32+N32+O32+P32+Q32+R32+S32+T32+U32+V32+W32+X32+Y32+Z32+AA32+AB32+AC32+AD32+AE32+AF32+AG32+AH32+AI32+AJ32+AK32+AL32+AM32+AN32+AO32+AP32+AQ32+AR32+AS32+AT32+AU32+AV32+AW32+AX32+AY32+AZ32+BA32+BB32+BC32+BD32+BE32+BF32+BG32+BH32+BI32+BJ32+BK32+BL32+BM32+BN32+BO32+BP32+BQ32+BR32</f>
        <v>2497.0</v>
      </c>
    </row>
    <row r="33" spans="1:71" ht="16">
      <c r="A33" s="33" t="s">
        <v>30</v>
      </c>
      <c r="B33" s="39"/>
      <c r="C33" s="39"/>
      <c r="D33" s="41">
        <v>672.5</v>
      </c>
      <c r="E33" s="39"/>
      <c r="F33" s="39"/>
      <c r="G33" s="39"/>
      <c r="H33" s="39"/>
      <c r="I33" s="39"/>
      <c r="J33" s="39"/>
      <c r="K33" s="39"/>
      <c r="L33" s="39"/>
      <c r="M33" s="41">
        <v>146.0</v>
      </c>
      <c r="N33" s="41">
        <v>1687.5</v>
      </c>
      <c r="O33" s="41">
        <v>545.0</v>
      </c>
      <c r="P33" s="39"/>
      <c r="Q33" s="41">
        <v>125.0</v>
      </c>
      <c r="R33" s="41">
        <v>125.0</v>
      </c>
      <c r="S33" s="41">
        <v>480.0</v>
      </c>
      <c r="T33" s="41">
        <v>250.0</v>
      </c>
      <c r="U33" s="41">
        <v>125.0</v>
      </c>
      <c r="V33" s="39"/>
      <c r="W33" s="39"/>
      <c r="X33" s="39"/>
      <c r="Y33" s="39"/>
      <c r="Z33" s="41">
        <v>187.5</v>
      </c>
      <c r="AA33" s="41">
        <v>791.25</v>
      </c>
      <c r="AB33" s="41">
        <v>187.5</v>
      </c>
      <c r="AC33" s="39"/>
      <c r="AD33" s="41">
        <v>2111.25</v>
      </c>
      <c r="AE33" s="39"/>
      <c r="AF33" s="39"/>
      <c r="AG33" s="41">
        <v>93.75</v>
      </c>
      <c r="AH33" s="39"/>
      <c r="AI33" s="41">
        <v>3508.75</v>
      </c>
      <c r="AJ33" s="39"/>
      <c r="AK33" s="39"/>
      <c r="AL33" s="41">
        <v>1000.0</v>
      </c>
      <c r="AM33" s="39"/>
      <c r="AN33" s="39"/>
      <c r="AO33" s="41">
        <v>467.5</v>
      </c>
      <c r="AP33" s="41">
        <v>702.0</v>
      </c>
      <c r="AQ33" s="41">
        <v>479.17</v>
      </c>
      <c r="AR33" s="41">
        <v>1572.92</v>
      </c>
      <c r="AS33" s="41">
        <v>281.25</v>
      </c>
      <c r="AT33" s="39"/>
      <c r="AU33" s="41">
        <v>1635.0</v>
      </c>
      <c r="AV33" s="39"/>
      <c r="AW33" s="41">
        <v>218.75</v>
      </c>
      <c r="AX33" s="39"/>
      <c r="AY33" s="41">
        <v>1725.0</v>
      </c>
      <c r="AZ33" s="39"/>
      <c r="BA33" s="41">
        <v>405.0</v>
      </c>
      <c r="BB33" s="39"/>
      <c r="BC33" s="41">
        <v>1000.0</v>
      </c>
      <c r="BD33" s="41">
        <v>1487.5</v>
      </c>
      <c r="BE33" s="39"/>
      <c r="BF33" s="41">
        <v>472.5</v>
      </c>
      <c r="BG33" s="39"/>
      <c r="BH33" s="41">
        <v>810.0</v>
      </c>
      <c r="BI33" s="41">
        <v>742.5</v>
      </c>
      <c r="BJ33" s="39"/>
      <c r="BK33" s="39"/>
      <c r="BL33" s="39"/>
      <c r="BM33" s="39"/>
      <c r="BN33" s="41">
        <v>472.5</v>
      </c>
      <c r="BO33" s="41">
        <v>472.5</v>
      </c>
      <c r="BP33" s="41">
        <v>3122.5</v>
      </c>
      <c r="BQ33" s="41">
        <v>405.0</v>
      </c>
      <c r="BR33" s="39"/>
      <c r="BS33" s="41">
        <f>B33+C33+D33+E33+F33+G33+H33+I33+J33+K33+L33+M33+N33+O33+P33+Q33+R33+S33+T33+U33+V33+W33+X33+Y33+Z33+AA33+AB33+AC33+AD33+AE33+AF33+AG33+AH33+AI33+AJ33+AK33+AL33+AM33+AN33+AO33+AP33+AQ33+AR33+AS33+AT33+AU33+AV33+AW33+AX33+AY33+AZ33+BA33+BB33+BC33+BD33+BE33+BF33+BG33+BH33+BI33+BJ33+BK33+BL33+BM33+BN33+BO33+BP33+BQ33+BR33</f>
        <v>28507.59</v>
      </c>
    </row>
    <row r="34" spans="1:71" ht="16">
      <c r="A34" s="33" t="s">
        <v>31</v>
      </c>
      <c r="B34" s="41">
        <v>4385.78</v>
      </c>
      <c r="C34" s="39"/>
      <c r="D34" s="41">
        <v>1894.13</v>
      </c>
      <c r="E34" s="39"/>
      <c r="F34" s="39"/>
      <c r="G34" s="41">
        <v>270.33</v>
      </c>
      <c r="H34" s="39"/>
      <c r="I34" s="39"/>
      <c r="J34" s="39"/>
      <c r="K34" s="39"/>
      <c r="L34" s="41">
        <v>952.34</v>
      </c>
      <c r="M34" s="41">
        <v>1050.0</v>
      </c>
      <c r="N34" s="41">
        <v>438.0</v>
      </c>
      <c r="O34" s="39"/>
      <c r="P34" s="39"/>
      <c r="Q34" s="39"/>
      <c r="R34" s="39"/>
      <c r="S34" s="41">
        <v>1602.97</v>
      </c>
      <c r="T34" s="41">
        <v>806.0</v>
      </c>
      <c r="U34" s="39"/>
      <c r="V34" s="39"/>
      <c r="W34" s="41">
        <v>1979.94</v>
      </c>
      <c r="X34" s="39"/>
      <c r="Y34" s="39"/>
      <c r="Z34" s="41">
        <v>2744.92</v>
      </c>
      <c r="AA34" s="41">
        <v>1753.08</v>
      </c>
      <c r="AB34" s="41">
        <v>878.16</v>
      </c>
      <c r="AC34" s="39"/>
      <c r="AD34" s="39"/>
      <c r="AE34" s="39"/>
      <c r="AF34" s="39"/>
      <c r="AG34" s="41">
        <v>5472.24</v>
      </c>
      <c r="AH34" s="39"/>
      <c r="AI34" s="39"/>
      <c r="AJ34" s="39"/>
      <c r="AK34" s="39"/>
      <c r="AL34" s="41">
        <v>1904.22</v>
      </c>
      <c r="AM34" s="39"/>
      <c r="AN34" s="41">
        <v>846.14</v>
      </c>
      <c r="AO34" s="39"/>
      <c r="AP34" s="39"/>
      <c r="AQ34" s="39"/>
      <c r="AR34" s="39"/>
      <c r="AS34" s="41">
        <v>2188.7</v>
      </c>
      <c r="AT34" s="39"/>
      <c r="AU34" s="41">
        <v>528.5</v>
      </c>
      <c r="AV34" s="39"/>
      <c r="AW34" s="41">
        <v>1510.0</v>
      </c>
      <c r="AX34" s="39"/>
      <c r="AY34" s="41">
        <v>1360.0</v>
      </c>
      <c r="AZ34" s="39"/>
      <c r="BA34" s="39"/>
      <c r="BB34" s="39"/>
      <c r="BC34" s="39"/>
      <c r="BD34" s="41">
        <v>310.38</v>
      </c>
      <c r="BE34" s="41">
        <v>579.5</v>
      </c>
      <c r="BF34" s="39"/>
      <c r="BG34" s="39"/>
      <c r="BH34" s="41">
        <v>186.0</v>
      </c>
      <c r="BI34" s="41">
        <v>4422.0</v>
      </c>
      <c r="BJ34" s="41">
        <v>850.0</v>
      </c>
      <c r="BK34" s="39"/>
      <c r="BL34" s="39"/>
      <c r="BM34" s="41">
        <v>316.39</v>
      </c>
      <c r="BN34" s="39"/>
      <c r="BO34" s="41">
        <v>480.59</v>
      </c>
      <c r="BP34" s="39"/>
      <c r="BQ34" s="39"/>
      <c r="BR34" s="39"/>
      <c r="BS34" s="41">
        <f>B34+C34+D34+E34+F34+G34+H34+I34+J34+K34+L34+M34+N34+O34+P34+Q34+R34+S34+T34+U34+V34+W34+X34+Y34+Z34+AA34+AB34+AC34+AD34+AE34+AF34+AG34+AH34+AI34+AJ34+AK34+AL34+AM34+AN34+AO34+AP34+AQ34+AR34+AS34+AT34+AU34+AV34+AW34+AX34+AY34+AZ34+BA34+BB34+BC34+BD34+BE34+BF34+BG34+BH34+BI34+BJ34+BK34+BL34+BM34+BN34+BO34+BP34+BQ34+BR34</f>
        <v>39710.31</v>
      </c>
    </row>
    <row r="35" spans="1:71" ht="16">
      <c r="A35" s="34" t="s">
        <v>32</v>
      </c>
      <c r="B35" s="42">
        <f>B32+B33+B34</f>
        <v>4385.78</v>
      </c>
      <c r="C35" s="40">
        <f>C32+C33+C34</f>
        <v>0.0</v>
      </c>
      <c r="D35" s="42">
        <f>D32+D33+D34</f>
        <v>2566.63</v>
      </c>
      <c r="E35" s="40">
        <f>E32+E33+E34</f>
        <v>0.0</v>
      </c>
      <c r="F35" s="42">
        <f>F32+F33+F34</f>
        <v>2497.0</v>
      </c>
      <c r="G35" s="42">
        <f>G32+G33+G34</f>
        <v>270.33</v>
      </c>
      <c r="H35" s="40">
        <f>H32+H33+H34</f>
        <v>0.0</v>
      </c>
      <c r="I35" s="40">
        <f>I32+I33+I34</f>
        <v>0.0</v>
      </c>
      <c r="J35" s="40">
        <f>J32+J33+J34</f>
        <v>0.0</v>
      </c>
      <c r="K35" s="40">
        <f>K32+K33+K34</f>
        <v>0.0</v>
      </c>
      <c r="L35" s="42">
        <f>L32+L33+L34</f>
        <v>952.34</v>
      </c>
      <c r="M35" s="42">
        <f>M32+M33+M34</f>
        <v>1196.0</v>
      </c>
      <c r="N35" s="42">
        <f>N32+N33+N34</f>
        <v>2125.5</v>
      </c>
      <c r="O35" s="42">
        <f>O32+O33+O34</f>
        <v>545.0</v>
      </c>
      <c r="P35" s="40">
        <f>P32+P33+P34</f>
        <v>0.0</v>
      </c>
      <c r="Q35" s="42">
        <f>Q32+Q33+Q34</f>
        <v>125.0</v>
      </c>
      <c r="R35" s="42">
        <f>R32+R33+R34</f>
        <v>125.0</v>
      </c>
      <c r="S35" s="42">
        <f>S32+S33+S34</f>
        <v>2082.9700000000003</v>
      </c>
      <c r="T35" s="42">
        <f>T32+T33+T34</f>
        <v>1056.0</v>
      </c>
      <c r="U35" s="42">
        <f>U32+U33+U34</f>
        <v>125.0</v>
      </c>
      <c r="V35" s="40">
        <f>V32+V33+V34</f>
        <v>0.0</v>
      </c>
      <c r="W35" s="42">
        <f>W32+W33+W34</f>
        <v>1979.94</v>
      </c>
      <c r="X35" s="40">
        <f>X32+X33+X34</f>
        <v>0.0</v>
      </c>
      <c r="Y35" s="40">
        <f>Y32+Y33+Y34</f>
        <v>0.0</v>
      </c>
      <c r="Z35" s="42">
        <f>Z32+Z33+Z34</f>
        <v>2932.42</v>
      </c>
      <c r="AA35" s="42">
        <f>AA32+AA33+AA34</f>
        <v>2544.33</v>
      </c>
      <c r="AB35" s="42">
        <f>AB32+AB33+AB34</f>
        <v>1065.6599999999999</v>
      </c>
      <c r="AC35" s="40">
        <f>AC32+AC33+AC34</f>
        <v>0.0</v>
      </c>
      <c r="AD35" s="42">
        <f>AD32+AD33+AD34</f>
        <v>2111.25</v>
      </c>
      <c r="AE35" s="40">
        <f>AE32+AE33+AE34</f>
        <v>0.0</v>
      </c>
      <c r="AF35" s="40">
        <f>AF32+AF33+AF34</f>
        <v>0.0</v>
      </c>
      <c r="AG35" s="42">
        <f>AG32+AG33+AG34</f>
        <v>5565.99</v>
      </c>
      <c r="AH35" s="40">
        <f>AH32+AH33+AH34</f>
        <v>0.0</v>
      </c>
      <c r="AI35" s="42">
        <f>AI32+AI33+AI34</f>
        <v>3508.75</v>
      </c>
      <c r="AJ35" s="40">
        <f>AJ32+AJ33+AJ34</f>
        <v>0.0</v>
      </c>
      <c r="AK35" s="40">
        <f>AK32+AK33+AK34</f>
        <v>0.0</v>
      </c>
      <c r="AL35" s="42">
        <f>AL32+AL33+AL34</f>
        <v>2904.2200000000003</v>
      </c>
      <c r="AM35" s="40">
        <f>AM32+AM33+AM34</f>
        <v>0.0</v>
      </c>
      <c r="AN35" s="42">
        <f>AN32+AN33+AN34</f>
        <v>846.14</v>
      </c>
      <c r="AO35" s="42">
        <f>AO32+AO33+AO34</f>
        <v>467.5</v>
      </c>
      <c r="AP35" s="42">
        <f>AP32+AP33+AP34</f>
        <v>702.0</v>
      </c>
      <c r="AQ35" s="42">
        <f>AQ32+AQ33+AQ34</f>
        <v>479.17</v>
      </c>
      <c r="AR35" s="42">
        <f>AR32+AR33+AR34</f>
        <v>1572.92</v>
      </c>
      <c r="AS35" s="42">
        <f>AS32+AS33+AS34</f>
        <v>2469.95</v>
      </c>
      <c r="AT35" s="40">
        <f>AT32+AT33+AT34</f>
        <v>0.0</v>
      </c>
      <c r="AU35" s="42">
        <f>AU32+AU33+AU34</f>
        <v>2163.5</v>
      </c>
      <c r="AV35" s="40">
        <f>AV32+AV33+AV34</f>
        <v>0.0</v>
      </c>
      <c r="AW35" s="42">
        <f>AW32+AW33+AW34</f>
        <v>1728.75</v>
      </c>
      <c r="AX35" s="40">
        <f>AX32+AX33+AX34</f>
        <v>0.0</v>
      </c>
      <c r="AY35" s="42">
        <f>AY32+AY33+AY34</f>
        <v>3085.0</v>
      </c>
      <c r="AZ35" s="40">
        <f>AZ32+AZ33+AZ34</f>
        <v>0.0</v>
      </c>
      <c r="BA35" s="42">
        <f>BA32+BA33+BA34</f>
        <v>405.0</v>
      </c>
      <c r="BB35" s="40">
        <f>BB32+BB33+BB34</f>
        <v>0.0</v>
      </c>
      <c r="BC35" s="42">
        <f>BC32+BC33+BC34</f>
        <v>1000.0</v>
      </c>
      <c r="BD35" s="42">
        <f>BD32+BD33+BD34</f>
        <v>1797.88</v>
      </c>
      <c r="BE35" s="42">
        <f>BE32+BE33+BE34</f>
        <v>579.5</v>
      </c>
      <c r="BF35" s="42">
        <f>BF32+BF33+BF34</f>
        <v>472.5</v>
      </c>
      <c r="BG35" s="40">
        <f>BG32+BG33+BG34</f>
        <v>0.0</v>
      </c>
      <c r="BH35" s="42">
        <f>BH32+BH33+BH34</f>
        <v>996.0</v>
      </c>
      <c r="BI35" s="42">
        <f>BI32+BI33+BI34</f>
        <v>5164.5</v>
      </c>
      <c r="BJ35" s="42">
        <f>BJ32+BJ33+BJ34</f>
        <v>850.0</v>
      </c>
      <c r="BK35" s="40">
        <f>BK32+BK33+BK34</f>
        <v>0.0</v>
      </c>
      <c r="BL35" s="40">
        <f>BL32+BL33+BL34</f>
        <v>0.0</v>
      </c>
      <c r="BM35" s="42">
        <f>BM32+BM33+BM34</f>
        <v>316.39</v>
      </c>
      <c r="BN35" s="42">
        <f>BN32+BN33+BN34</f>
        <v>472.5</v>
      </c>
      <c r="BO35" s="42">
        <f>BO32+BO33+BO34</f>
        <v>953.0899999999999</v>
      </c>
      <c r="BP35" s="42">
        <f>BP32+BP33+BP34</f>
        <v>3122.5</v>
      </c>
      <c r="BQ35" s="42">
        <f>BQ32+BQ33+BQ34</f>
        <v>405.0</v>
      </c>
      <c r="BR35" s="40">
        <f>BR32+BR33+BR34</f>
        <v>0.0</v>
      </c>
      <c r="BS35" s="40">
        <f>B35+C35+D35+E35+F35+G35+H35+I35+J35+K35+L35+M35+N35+O35+P35+Q35+R35+S35+T35+U35+V35+W35+X35+Y35+Z35+AA35+AB35+AC35+AD35+AE35+AF35+AG35+AH35+AI35+AJ35+AK35+AL35+AM35+AN35+AO35+AP35+AQ35+AR35+AS35+AT35+AU35+AV35+AW35+AX35+AY35+AZ35+BA35+BB35+BC35+BD35+BE35+BF35+BG35+BH35+BI35+BJ35+BK35+BL35+BM35+BN35+BO35+BP35+BQ35+BR35</f>
        <v>70714.9</v>
      </c>
    </row>
    <row r="36" spans="1:71" ht="16">
      <c r="A36" s="32" t="s">
        <v>33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41">
        <v>30.64</v>
      </c>
      <c r="S36" s="41">
        <v>86.13</v>
      </c>
      <c r="T36" s="41">
        <v>129.97</v>
      </c>
      <c r="U36" s="39"/>
      <c r="V36" s="41">
        <v>229.05</v>
      </c>
      <c r="W36" s="41">
        <v>986.08</v>
      </c>
      <c r="X36" s="39"/>
      <c r="Y36" s="41">
        <v>879.41</v>
      </c>
      <c r="Z36" s="39"/>
      <c r="AA36" s="39"/>
      <c r="AB36" s="41">
        <v>63.72</v>
      </c>
      <c r="AC36" s="39"/>
      <c r="AD36" s="39"/>
      <c r="AE36" s="41">
        <v>20.34</v>
      </c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41">
        <v>141.94</v>
      </c>
      <c r="AQ36" s="39"/>
      <c r="AR36" s="39"/>
      <c r="AS36" s="39"/>
      <c r="AT36" s="41">
        <v>648.76</v>
      </c>
      <c r="AU36" s="39"/>
      <c r="AV36" s="41">
        <v>108.57</v>
      </c>
      <c r="AW36" s="39"/>
      <c r="AX36" s="41">
        <v>150.0</v>
      </c>
      <c r="AY36" s="39"/>
      <c r="AZ36" s="39"/>
      <c r="BA36" s="39"/>
      <c r="BB36" s="39"/>
      <c r="BC36" s="39"/>
      <c r="BD36" s="41">
        <v>66.23</v>
      </c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41">
        <v>94.45</v>
      </c>
      <c r="BR36" s="39"/>
      <c r="BS36" s="41">
        <f>B36+C36+D36+E36+F36+G36+H36+I36+J36+K36+L36+M36+N36+O36+P36+Q36+R36+S36+T36+U36+V36+W36+X36+Y36+Z36+AA36+AB36+AC36+AD36+AE36+AF36+AG36+AH36+AI36+AJ36+AK36+AL36+AM36+AN36+AO36+AP36+AQ36+AR36+AS36+AT36+AU36+AV36+AW36+AX36+AY36+AZ36+BA36+BB36+BC36+BD36+BE36+BF36+BG36+BH36+BI36+BJ36+BK36+BL36+BM36+BN36+BO36+BP36+BQ36+BR36</f>
        <v>3635.29</v>
      </c>
    </row>
    <row r="37" spans="1:71" ht="16">
      <c r="A37" s="32" t="s">
        <v>34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41">
        <v>83.17</v>
      </c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41">
        <v>472.6</v>
      </c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41">
        <f>B37+C37+D37+E37+F37+G37+H37+I37+J37+K37+L37+M37+N37+O37+P37+Q37+R37+S37+T37+U37+V37+W37+X37+Y37+Z37+AA37+AB37+AC37+AD37+AE37+AF37+AG37+AH37+AI37+AJ37+AK37+AL37+AM37+AN37+AO37+AP37+AQ37+AR37+AS37+AT37+AU37+AV37+AW37+AX37+AY37+AZ37+BA37+BB37+BC37+BD37+BE37+BF37+BG37+BH37+BI37+BJ37+BK37+BL37+BM37+BN37+BO37+BP37+BQ37+BR37</f>
        <v>555.77</v>
      </c>
    </row>
    <row r="38" spans="1:71" ht="16">
      <c r="A38" s="32" t="s">
        <v>35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</row>
    <row r="39" spans="1:71" ht="16">
      <c r="A39" s="33" t="s">
        <v>36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41">
        <v>592.92</v>
      </c>
      <c r="AH39" s="41">
        <v>802.56</v>
      </c>
      <c r="AI39" s="41">
        <v>1001.26</v>
      </c>
      <c r="AJ39" s="41">
        <v>969.38</v>
      </c>
      <c r="AK39" s="39"/>
      <c r="AL39" s="41">
        <v>391.25</v>
      </c>
      <c r="AM39" s="41">
        <v>1279.15</v>
      </c>
      <c r="AN39" s="41">
        <v>1320.75</v>
      </c>
      <c r="AO39" s="41">
        <v>2545.01</v>
      </c>
      <c r="AP39" s="41">
        <v>10979.47</v>
      </c>
      <c r="AQ39" s="41">
        <v>3498.27</v>
      </c>
      <c r="AR39" s="41">
        <v>1482.7</v>
      </c>
      <c r="AS39" s="41">
        <v>1253.66</v>
      </c>
      <c r="AT39" s="41">
        <v>1528.15</v>
      </c>
      <c r="AU39" s="41">
        <v>2278.44</v>
      </c>
      <c r="AV39" s="39"/>
      <c r="AW39" s="41">
        <v>2656.51</v>
      </c>
      <c r="AX39" s="41">
        <v>1784.62</v>
      </c>
      <c r="AY39" s="41">
        <v>2770.18</v>
      </c>
      <c r="AZ39" s="41">
        <v>413.16</v>
      </c>
      <c r="BA39" s="41">
        <v>1411.45</v>
      </c>
      <c r="BB39" s="41">
        <v>1995.89</v>
      </c>
      <c r="BC39" s="41">
        <v>617.66</v>
      </c>
      <c r="BD39" s="41">
        <v>1056.39</v>
      </c>
      <c r="BE39" s="41">
        <v>1267.95</v>
      </c>
      <c r="BF39" s="41">
        <v>6682.56</v>
      </c>
      <c r="BG39" s="41">
        <v>8233.9</v>
      </c>
      <c r="BH39" s="41">
        <v>5237.24</v>
      </c>
      <c r="BI39" s="41">
        <v>3098.95</v>
      </c>
      <c r="BJ39" s="41">
        <v>582.0</v>
      </c>
      <c r="BK39" s="41">
        <v>1387.97</v>
      </c>
      <c r="BL39" s="41">
        <v>6800.66</v>
      </c>
      <c r="BM39" s="41">
        <v>5722.54</v>
      </c>
      <c r="BN39" s="41">
        <v>1147.71</v>
      </c>
      <c r="BO39" s="41">
        <v>2965.33</v>
      </c>
      <c r="BP39" s="41">
        <v>4380.15</v>
      </c>
      <c r="BQ39" s="41">
        <v>1386.91</v>
      </c>
      <c r="BR39" s="39"/>
      <c r="BS39" s="41">
        <f>B39+C39+D39+E39+F39+G39+H39+I39+J39+K39+L39+M39+N39+O39+P39+Q39+R39+S39+T39+U39+V39+W39+X39+Y39+Z39+AA39+AB39+AC39+AD39+AE39+AF39+AG39+AH39+AI39+AJ39+AK39+AL39+AM39+AN39+AO39+AP39+AQ39+AR39+AS39+AT39+AU39+AV39+AW39+AX39+AY39+AZ39+BA39+BB39+BC39+BD39+BE39+BF39+BG39+BH39+BI39+BJ39+BK39+BL39+BM39+BN39+BO39+BP39+BQ39+BR39</f>
        <v>91522.70000000001</v>
      </c>
    </row>
    <row r="40" spans="1:71" ht="16">
      <c r="A40" s="34" t="s">
        <v>37</v>
      </c>
      <c r="B40" s="40">
        <f>B38+B39</f>
        <v>0.0</v>
      </c>
      <c r="C40" s="40">
        <f>C38+C39</f>
        <v>0.0</v>
      </c>
      <c r="D40" s="40">
        <f>D38+D39</f>
        <v>0.0</v>
      </c>
      <c r="E40" s="40">
        <f>E38+E39</f>
        <v>0.0</v>
      </c>
      <c r="F40" s="40">
        <f>F38+F39</f>
        <v>0.0</v>
      </c>
      <c r="G40" s="40">
        <f>G38+G39</f>
        <v>0.0</v>
      </c>
      <c r="H40" s="40">
        <f>H38+H39</f>
        <v>0.0</v>
      </c>
      <c r="I40" s="40">
        <f>I38+I39</f>
        <v>0.0</v>
      </c>
      <c r="J40" s="40">
        <f>J38+J39</f>
        <v>0.0</v>
      </c>
      <c r="K40" s="40">
        <f>K38+K39</f>
        <v>0.0</v>
      </c>
      <c r="L40" s="40">
        <f>L38+L39</f>
        <v>0.0</v>
      </c>
      <c r="M40" s="40">
        <f>M38+M39</f>
        <v>0.0</v>
      </c>
      <c r="N40" s="40">
        <f>N38+N39</f>
        <v>0.0</v>
      </c>
      <c r="O40" s="40">
        <f>O38+O39</f>
        <v>0.0</v>
      </c>
      <c r="P40" s="40">
        <f>P38+P39</f>
        <v>0.0</v>
      </c>
      <c r="Q40" s="40">
        <f>Q38+Q39</f>
        <v>0.0</v>
      </c>
      <c r="R40" s="40">
        <f>R38+R39</f>
        <v>0.0</v>
      </c>
      <c r="S40" s="40">
        <f>S38+S39</f>
        <v>0.0</v>
      </c>
      <c r="T40" s="40">
        <f>T38+T39</f>
        <v>0.0</v>
      </c>
      <c r="U40" s="40">
        <f>U38+U39</f>
        <v>0.0</v>
      </c>
      <c r="V40" s="40">
        <f>V38+V39</f>
        <v>0.0</v>
      </c>
      <c r="W40" s="40">
        <f>W38+W39</f>
        <v>0.0</v>
      </c>
      <c r="X40" s="40">
        <f>X38+X39</f>
        <v>0.0</v>
      </c>
      <c r="Y40" s="40">
        <f>Y38+Y39</f>
        <v>0.0</v>
      </c>
      <c r="Z40" s="40">
        <f>Z38+Z39</f>
        <v>0.0</v>
      </c>
      <c r="AA40" s="40">
        <f>AA38+AA39</f>
        <v>0.0</v>
      </c>
      <c r="AB40" s="40">
        <f>AB38+AB39</f>
        <v>0.0</v>
      </c>
      <c r="AC40" s="40">
        <f>AC38+AC39</f>
        <v>0.0</v>
      </c>
      <c r="AD40" s="40">
        <f>AD38+AD39</f>
        <v>0.0</v>
      </c>
      <c r="AE40" s="40">
        <f>AE38+AE39</f>
        <v>0.0</v>
      </c>
      <c r="AF40" s="40">
        <f>AF38+AF39</f>
        <v>0.0</v>
      </c>
      <c r="AG40" s="42">
        <f>AG38+AG39</f>
        <v>592.92</v>
      </c>
      <c r="AH40" s="42">
        <f>AH38+AH39</f>
        <v>802.56</v>
      </c>
      <c r="AI40" s="42">
        <f>AI38+AI39</f>
        <v>1001.26</v>
      </c>
      <c r="AJ40" s="42">
        <f>AJ38+AJ39</f>
        <v>969.38</v>
      </c>
      <c r="AK40" s="40">
        <f>AK38+AK39</f>
        <v>0.0</v>
      </c>
      <c r="AL40" s="42">
        <f>AL38+AL39</f>
        <v>391.25</v>
      </c>
      <c r="AM40" s="42">
        <f>AM38+AM39</f>
        <v>1279.15</v>
      </c>
      <c r="AN40" s="42">
        <f>AN38+AN39</f>
        <v>1320.75</v>
      </c>
      <c r="AO40" s="42">
        <f>AO38+AO39</f>
        <v>2545.01</v>
      </c>
      <c r="AP40" s="42">
        <f>AP38+AP39</f>
        <v>10979.47</v>
      </c>
      <c r="AQ40" s="42">
        <f>AQ38+AQ39</f>
        <v>3498.27</v>
      </c>
      <c r="AR40" s="42">
        <f>AR38+AR39</f>
        <v>1482.7</v>
      </c>
      <c r="AS40" s="42">
        <f>AS38+AS39</f>
        <v>1253.66</v>
      </c>
      <c r="AT40" s="42">
        <f>AT38+AT39</f>
        <v>1528.15</v>
      </c>
      <c r="AU40" s="42">
        <f>AU38+AU39</f>
        <v>2278.44</v>
      </c>
      <c r="AV40" s="40">
        <f>AV38+AV39</f>
        <v>0.0</v>
      </c>
      <c r="AW40" s="42">
        <f>AW38+AW39</f>
        <v>2656.51</v>
      </c>
      <c r="AX40" s="42">
        <f>AX38+AX39</f>
        <v>1784.62</v>
      </c>
      <c r="AY40" s="42">
        <f>AY38+AY39</f>
        <v>2770.18</v>
      </c>
      <c r="AZ40" s="42">
        <f>AZ38+AZ39</f>
        <v>413.16</v>
      </c>
      <c r="BA40" s="42">
        <f>BA38+BA39</f>
        <v>1411.45</v>
      </c>
      <c r="BB40" s="42">
        <f>BB38+BB39</f>
        <v>1995.89</v>
      </c>
      <c r="BC40" s="42">
        <f>BC38+BC39</f>
        <v>617.66</v>
      </c>
      <c r="BD40" s="42">
        <f>BD38+BD39</f>
        <v>1056.39</v>
      </c>
      <c r="BE40" s="42">
        <f>BE38+BE39</f>
        <v>1267.95</v>
      </c>
      <c r="BF40" s="42">
        <f>BF38+BF39</f>
        <v>6682.56</v>
      </c>
      <c r="BG40" s="42">
        <f>BG38+BG39</f>
        <v>8233.9</v>
      </c>
      <c r="BH40" s="42">
        <f>BH38+BH39</f>
        <v>5237.24</v>
      </c>
      <c r="BI40" s="42">
        <f>BI38+BI39</f>
        <v>3098.95</v>
      </c>
      <c r="BJ40" s="42">
        <f>BJ38+BJ39</f>
        <v>582.0</v>
      </c>
      <c r="BK40" s="42">
        <f>BK38+BK39</f>
        <v>1387.97</v>
      </c>
      <c r="BL40" s="42">
        <f>BL38+BL39</f>
        <v>6800.66</v>
      </c>
      <c r="BM40" s="42">
        <f>BM38+BM39</f>
        <v>5722.54</v>
      </c>
      <c r="BN40" s="42">
        <f>BN38+BN39</f>
        <v>1147.71</v>
      </c>
      <c r="BO40" s="42">
        <f>BO38+BO39</f>
        <v>2965.33</v>
      </c>
      <c r="BP40" s="42">
        <f>BP38+BP39</f>
        <v>4380.15</v>
      </c>
      <c r="BQ40" s="42">
        <f>BQ38+BQ39</f>
        <v>1386.91</v>
      </c>
      <c r="BR40" s="40">
        <f>BR38+BR39</f>
        <v>0.0</v>
      </c>
      <c r="BS40" s="40">
        <f>B40+C40+D40+E40+F40+G40+H40+I40+J40+K40+L40+M40+N40+O40+P40+Q40+R40+S40+T40+U40+V40+W40+X40+Y40+Z40+AA40+AB40+AC40+AD40+AE40+AF40+AG40+AH40+AI40+AJ40+AK40+AL40+AM40+AN40+AO40+AP40+AQ40+AR40+AS40+AT40+AU40+AV40+AW40+AX40+AY40+AZ40+BA40+BB40+BC40+BD40+BE40+BF40+BG40+BH40+BI40+BJ40+BK40+BL40+BM40+BN40+BO40+BP40+BQ40+BR40</f>
        <v>91522.70000000001</v>
      </c>
    </row>
    <row r="41" spans="1:71" ht="16">
      <c r="A41" s="32" t="s">
        <v>38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41">
        <v>1300.4</v>
      </c>
      <c r="BK41" s="39"/>
      <c r="BL41" s="41">
        <v>5788.63</v>
      </c>
      <c r="BM41" s="39"/>
      <c r="BN41" s="39"/>
      <c r="BO41" s="39"/>
      <c r="BP41" s="39"/>
      <c r="BQ41" s="39"/>
      <c r="BR41" s="39"/>
      <c r="BS41" s="41">
        <f>B41+C41+D41+E41+F41+G41+H41+I41+J41+K41+L41+M41+N41+O41+P41+Q41+R41+S41+T41+U41+V41+W41+X41+Y41+Z41+AA41+AB41+AC41+AD41+AE41+AF41+AG41+AH41+AI41+AJ41+AK41+AL41+AM41+AN41+AO41+AP41+AQ41+AR41+AS41+AT41+AU41+AV41+AW41+AX41+AY41+AZ41+BA41+BB41+BC41+BD41+BE41+BF41+BG41+BH41+BI41+BJ41+BK41+BL41+BM41+BN41+BO41+BP41+BQ41+BR41</f>
        <v>7089.030000000001</v>
      </c>
    </row>
    <row r="42" spans="1:71" ht="16">
      <c r="A42" s="32" t="s">
        <v>39</v>
      </c>
      <c r="B42" s="41">
        <v>94.76</v>
      </c>
      <c r="C42" s="41">
        <v>94.76</v>
      </c>
      <c r="D42" s="41">
        <v>94.76</v>
      </c>
      <c r="E42" s="41">
        <v>94.76</v>
      </c>
      <c r="F42" s="41">
        <v>94.76</v>
      </c>
      <c r="G42" s="41">
        <v>504.44</v>
      </c>
      <c r="H42" s="41">
        <v>213.98</v>
      </c>
      <c r="I42" s="41">
        <v>273.98</v>
      </c>
      <c r="J42" s="41">
        <v>297.98</v>
      </c>
      <c r="K42" s="41">
        <v>213.98</v>
      </c>
      <c r="L42" s="41">
        <v>213.98</v>
      </c>
      <c r="M42" s="41">
        <v>213.98</v>
      </c>
      <c r="N42" s="41">
        <v>213.98</v>
      </c>
      <c r="O42" s="41">
        <v>213.98</v>
      </c>
      <c r="P42" s="41">
        <v>213.98</v>
      </c>
      <c r="Q42" s="41">
        <v>213.98</v>
      </c>
      <c r="R42" s="41">
        <v>213.98</v>
      </c>
      <c r="S42" s="41">
        <v>549.98</v>
      </c>
      <c r="T42" s="41">
        <v>213.98</v>
      </c>
      <c r="U42" s="41">
        <v>393.97</v>
      </c>
      <c r="V42" s="41">
        <v>972.98</v>
      </c>
      <c r="W42" s="41">
        <v>888.98</v>
      </c>
      <c r="X42" s="41">
        <v>774.86</v>
      </c>
      <c r="Y42" s="41">
        <v>213.98</v>
      </c>
      <c r="Z42" s="41">
        <v>888.98</v>
      </c>
      <c r="AA42" s="41">
        <v>1563.98</v>
      </c>
      <c r="AB42" s="41">
        <v>888.98</v>
      </c>
      <c r="AC42" s="41">
        <v>888.98</v>
      </c>
      <c r="AD42" s="41">
        <v>888.98</v>
      </c>
      <c r="AE42" s="41">
        <v>1661.09</v>
      </c>
      <c r="AF42" s="41">
        <v>1008.98</v>
      </c>
      <c r="AG42" s="41">
        <v>836.8</v>
      </c>
      <c r="AH42" s="41">
        <v>885.53</v>
      </c>
      <c r="AI42" s="41">
        <v>1709.72</v>
      </c>
      <c r="AJ42" s="41">
        <v>788.1</v>
      </c>
      <c r="AK42" s="41">
        <v>239.4</v>
      </c>
      <c r="AL42" s="41">
        <v>882.75</v>
      </c>
      <c r="AM42" s="41">
        <v>1100.66</v>
      </c>
      <c r="AN42" s="41">
        <v>906.05</v>
      </c>
      <c r="AO42" s="41">
        <v>892.35</v>
      </c>
      <c r="AP42" s="41">
        <v>3324.35</v>
      </c>
      <c r="AQ42" s="41">
        <v>714.7</v>
      </c>
      <c r="AR42" s="41">
        <v>130.14</v>
      </c>
      <c r="AS42" s="41">
        <v>451.35</v>
      </c>
      <c r="AT42" s="41">
        <v>1054.34</v>
      </c>
      <c r="AU42" s="41">
        <v>1887.18</v>
      </c>
      <c r="AV42" s="41">
        <v>308.59</v>
      </c>
      <c r="AW42" s="41">
        <v>367.47</v>
      </c>
      <c r="AX42" s="41">
        <v>1334.77</v>
      </c>
      <c r="AY42" s="41">
        <v>1116.44</v>
      </c>
      <c r="AZ42" s="41">
        <v>1123.99</v>
      </c>
      <c r="BA42" s="41">
        <v>1867.39</v>
      </c>
      <c r="BB42" s="41">
        <v>1344.39</v>
      </c>
      <c r="BC42" s="41">
        <v>1875.85</v>
      </c>
      <c r="BD42" s="41">
        <v>1222.39</v>
      </c>
      <c r="BE42" s="41">
        <v>1328.1</v>
      </c>
      <c r="BF42" s="41">
        <v>4256.42</v>
      </c>
      <c r="BG42" s="41">
        <v>7200.78</v>
      </c>
      <c r="BH42" s="41">
        <v>4424.35</v>
      </c>
      <c r="BI42" s="41">
        <v>3688.61</v>
      </c>
      <c r="BJ42" s="41">
        <v>391.2</v>
      </c>
      <c r="BK42" s="41">
        <v>565.62</v>
      </c>
      <c r="BL42" s="41">
        <v>681.12</v>
      </c>
      <c r="BM42" s="41">
        <v>9520.88</v>
      </c>
      <c r="BN42" s="41">
        <v>2165.26</v>
      </c>
      <c r="BO42" s="41">
        <v>3999.86</v>
      </c>
      <c r="BP42" s="41">
        <v>4046.43</v>
      </c>
      <c r="BQ42" s="41">
        <v>9065.16</v>
      </c>
      <c r="BR42" s="41">
        <v>352.0</v>
      </c>
      <c r="BS42" s="41">
        <f>B42+C42+D42+E42+F42+G42+H42+I42+J42+K42+L42+M42+N42+O42+P42+Q42+R42+S42+T42+U42+V42+W42+X42+Y42+Z42+AA42+AB42+AC42+AD42+AE42+AF42+AG42+AH42+AI42+AJ42+AK42+AL42+AM42+AN42+AO42+AP42+AQ42+AR42+AS42+AT42+AU42+AV42+AW42+AX42+AY42+AZ42+BA42+BB42+BC42+BD42+BE42+BF42+BG42+BH42+BI42+BJ42+BK42+BL42+BM42+BN42+BO42+BP42+BQ42+BR42</f>
        <v>93325.20999999998</v>
      </c>
    </row>
    <row r="43" spans="1:71" ht="16">
      <c r="A43" s="33" t="s">
        <v>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41">
        <v>2301.57</v>
      </c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41">
        <f>B43+C43+D43+E43+F43+G43+H43+I43+J43+K43+L43+M43+N43+O43+P43+Q43+R43+S43+T43+U43+V43+W43+X43+Y43+Z43+AA43+AB43+AC43+AD43+AE43+AF43+AG43+AH43+AI43+AJ43+AK43+AL43+AM43+AN43+AO43+AP43+AQ43+AR43+AS43+AT43+AU43+AV43+AW43+AX43+AY43+AZ43+BA43+BB43+BC43+BD43+BE43+BF43+BG43+BH43+BI43+BJ43+BK43+BL43+BM43+BN43+BO43+BP43+BQ43+BR43</f>
        <v>2301.57</v>
      </c>
    </row>
    <row r="44" spans="1:71" ht="16">
      <c r="A44" s="34" t="s">
        <v>41</v>
      </c>
      <c r="B44" s="42">
        <f>B42+B43</f>
        <v>94.76</v>
      </c>
      <c r="C44" s="42">
        <f>C42+C43</f>
        <v>94.76</v>
      </c>
      <c r="D44" s="42">
        <f>D42+D43</f>
        <v>94.76</v>
      </c>
      <c r="E44" s="42">
        <f>E42+E43</f>
        <v>94.76</v>
      </c>
      <c r="F44" s="42">
        <f>F42+F43</f>
        <v>94.76</v>
      </c>
      <c r="G44" s="42">
        <f>G42+G43</f>
        <v>504.44</v>
      </c>
      <c r="H44" s="42">
        <f>H42+H43</f>
        <v>213.98</v>
      </c>
      <c r="I44" s="42">
        <f>I42+I43</f>
        <v>273.98</v>
      </c>
      <c r="J44" s="42">
        <f>J42+J43</f>
        <v>297.98</v>
      </c>
      <c r="K44" s="42">
        <f>K42+K43</f>
        <v>213.98</v>
      </c>
      <c r="L44" s="42">
        <f>L42+L43</f>
        <v>213.98</v>
      </c>
      <c r="M44" s="42">
        <f>M42+M43</f>
        <v>213.98</v>
      </c>
      <c r="N44" s="42">
        <f>N42+N43</f>
        <v>213.98</v>
      </c>
      <c r="O44" s="42">
        <f>O42+O43</f>
        <v>213.98</v>
      </c>
      <c r="P44" s="42">
        <f>P42+P43</f>
        <v>213.98</v>
      </c>
      <c r="Q44" s="42">
        <f>Q42+Q43</f>
        <v>213.98</v>
      </c>
      <c r="R44" s="42">
        <f>R42+R43</f>
        <v>213.98</v>
      </c>
      <c r="S44" s="42">
        <f>S42+S43</f>
        <v>549.98</v>
      </c>
      <c r="T44" s="42">
        <f>T42+T43</f>
        <v>213.98</v>
      </c>
      <c r="U44" s="42">
        <f>U42+U43</f>
        <v>393.97</v>
      </c>
      <c r="V44" s="42">
        <f>V42+V43</f>
        <v>972.98</v>
      </c>
      <c r="W44" s="42">
        <f>W42+W43</f>
        <v>888.98</v>
      </c>
      <c r="X44" s="42">
        <f>X42+X43</f>
        <v>774.86</v>
      </c>
      <c r="Y44" s="42">
        <f>Y42+Y43</f>
        <v>213.98</v>
      </c>
      <c r="Z44" s="42">
        <f>Z42+Z43</f>
        <v>888.98</v>
      </c>
      <c r="AA44" s="42">
        <f>AA42+AA43</f>
        <v>1563.98</v>
      </c>
      <c r="AB44" s="42">
        <f>AB42+AB43</f>
        <v>888.98</v>
      </c>
      <c r="AC44" s="42">
        <f>AC42+AC43</f>
        <v>888.98</v>
      </c>
      <c r="AD44" s="42">
        <f>AD42+AD43</f>
        <v>888.98</v>
      </c>
      <c r="AE44" s="42">
        <f>AE42+AE43</f>
        <v>1661.09</v>
      </c>
      <c r="AF44" s="42">
        <f>AF42+AF43</f>
        <v>1008.98</v>
      </c>
      <c r="AG44" s="42">
        <f>AG42+AG43</f>
        <v>836.8</v>
      </c>
      <c r="AH44" s="42">
        <f>AH42+AH43</f>
        <v>885.53</v>
      </c>
      <c r="AI44" s="42">
        <f>AI42+AI43</f>
        <v>1709.72</v>
      </c>
      <c r="AJ44" s="42">
        <f>AJ42+AJ43</f>
        <v>788.1</v>
      </c>
      <c r="AK44" s="42">
        <f>AK42+AK43</f>
        <v>239.4</v>
      </c>
      <c r="AL44" s="42">
        <f>AL42+AL43</f>
        <v>882.75</v>
      </c>
      <c r="AM44" s="42">
        <f>AM42+AM43</f>
        <v>1100.66</v>
      </c>
      <c r="AN44" s="42">
        <f>AN42+AN43</f>
        <v>906.05</v>
      </c>
      <c r="AO44" s="42">
        <f>AO42+AO43</f>
        <v>892.35</v>
      </c>
      <c r="AP44" s="42">
        <f>AP42+AP43</f>
        <v>3324.35</v>
      </c>
      <c r="AQ44" s="42">
        <f>AQ42+AQ43</f>
        <v>714.7</v>
      </c>
      <c r="AR44" s="42">
        <f>AR42+AR43</f>
        <v>130.14</v>
      </c>
      <c r="AS44" s="42">
        <f>AS42+AS43</f>
        <v>451.35</v>
      </c>
      <c r="AT44" s="42">
        <f>AT42+AT43</f>
        <v>1054.34</v>
      </c>
      <c r="AU44" s="42">
        <f>AU42+AU43</f>
        <v>1887.18</v>
      </c>
      <c r="AV44" s="42">
        <f>AV42+AV43</f>
        <v>308.59</v>
      </c>
      <c r="AW44" s="42">
        <f>AW42+AW43</f>
        <v>367.47</v>
      </c>
      <c r="AX44" s="42">
        <f>AX42+AX43</f>
        <v>3636.34</v>
      </c>
      <c r="AY44" s="42">
        <f>AY42+AY43</f>
        <v>1116.44</v>
      </c>
      <c r="AZ44" s="42">
        <f>AZ42+AZ43</f>
        <v>1123.99</v>
      </c>
      <c r="BA44" s="42">
        <f>BA42+BA43</f>
        <v>1867.39</v>
      </c>
      <c r="BB44" s="42">
        <f>BB42+BB43</f>
        <v>1344.39</v>
      </c>
      <c r="BC44" s="42">
        <f>BC42+BC43</f>
        <v>1875.85</v>
      </c>
      <c r="BD44" s="42">
        <f>BD42+BD43</f>
        <v>1222.39</v>
      </c>
      <c r="BE44" s="42">
        <f>BE42+BE43</f>
        <v>1328.1</v>
      </c>
      <c r="BF44" s="42">
        <f>BF42+BF43</f>
        <v>4256.42</v>
      </c>
      <c r="BG44" s="42">
        <f>BG42+BG43</f>
        <v>7200.78</v>
      </c>
      <c r="BH44" s="42">
        <f>BH42+BH43</f>
        <v>4424.35</v>
      </c>
      <c r="BI44" s="42">
        <f>BI42+BI43</f>
        <v>3688.61</v>
      </c>
      <c r="BJ44" s="42">
        <f>BJ42+BJ43</f>
        <v>391.2</v>
      </c>
      <c r="BK44" s="42">
        <f>BK42+BK43</f>
        <v>565.62</v>
      </c>
      <c r="BL44" s="42">
        <f>BL42+BL43</f>
        <v>681.12</v>
      </c>
      <c r="BM44" s="42">
        <f>BM42+BM43</f>
        <v>9520.88</v>
      </c>
      <c r="BN44" s="42">
        <f>BN42+BN43</f>
        <v>2165.26</v>
      </c>
      <c r="BO44" s="42">
        <f>BO42+BO43</f>
        <v>3999.86</v>
      </c>
      <c r="BP44" s="42">
        <f>BP42+BP43</f>
        <v>4046.43</v>
      </c>
      <c r="BQ44" s="42">
        <f>BQ42+BQ43</f>
        <v>9065.16</v>
      </c>
      <c r="BR44" s="42">
        <f>BR42+BR43</f>
        <v>352.0</v>
      </c>
      <c r="BS44" s="40">
        <f>B44+C44+D44+E44+F44+G44+H44+I44+J44+K44+L44+M44+N44+O44+P44+Q44+R44+S44+T44+U44+V44+W44+X44+Y44+Z44+AA44+AB44+AC44+AD44+AE44+AF44+AG44+AH44+AI44+AJ44+AK44+AL44+AM44+AN44+AO44+AP44+AQ44+AR44+AS44+AT44+AU44+AV44+AW44+AX44+AY44+AZ44+BA44+BB44+BC44+BD44+BE44+BF44+BG44+BH44+BI44+BJ44+BK44+BL44+BM44+BN44+BO44+BP44+BQ44+BR44</f>
        <v>95626.77999999997</v>
      </c>
    </row>
    <row r="45" spans="1:71" ht="16">
      <c r="A45" s="32" t="s">
        <v>42</v>
      </c>
      <c r="B45" s="41">
        <v>26.35</v>
      </c>
      <c r="C45" s="39"/>
      <c r="D45" s="39"/>
      <c r="E45" s="39"/>
      <c r="F45" s="39"/>
      <c r="G45" s="39"/>
      <c r="H45" s="39"/>
      <c r="I45" s="39"/>
      <c r="J45" s="39"/>
      <c r="K45" s="39"/>
      <c r="L45" s="41">
        <v>59.15</v>
      </c>
      <c r="M45" s="41">
        <v>68.5</v>
      </c>
      <c r="N45" s="39"/>
      <c r="O45" s="39"/>
      <c r="P45" s="39"/>
      <c r="Q45" s="39"/>
      <c r="R45" s="39"/>
      <c r="S45" s="39"/>
      <c r="T45" s="39"/>
      <c r="U45" s="39"/>
      <c r="V45" s="41">
        <v>16.1</v>
      </c>
      <c r="W45" s="39"/>
      <c r="X45" s="41">
        <v>9.9</v>
      </c>
      <c r="Y45" s="39"/>
      <c r="Z45" s="39"/>
      <c r="AA45" s="39"/>
      <c r="AB45" s="39"/>
      <c r="AC45" s="41">
        <v>268.4</v>
      </c>
      <c r="AD45" s="39"/>
      <c r="AE45" s="41">
        <v>99.1</v>
      </c>
      <c r="AF45" s="41">
        <v>19.15</v>
      </c>
      <c r="AG45" s="39"/>
      <c r="AH45" s="41">
        <v>105.8</v>
      </c>
      <c r="AI45" s="39"/>
      <c r="AJ45" s="41">
        <v>237.62</v>
      </c>
      <c r="AK45" s="41">
        <v>220.57</v>
      </c>
      <c r="AL45" s="41">
        <v>53.15</v>
      </c>
      <c r="AM45" s="41">
        <v>136.18</v>
      </c>
      <c r="AN45" s="41">
        <v>61.25</v>
      </c>
      <c r="AO45" s="41">
        <v>93.95</v>
      </c>
      <c r="AP45" s="41">
        <v>36.8</v>
      </c>
      <c r="AQ45" s="41">
        <v>9.85</v>
      </c>
      <c r="AR45" s="39"/>
      <c r="AS45" s="39"/>
      <c r="AT45" s="39"/>
      <c r="AU45" s="39"/>
      <c r="AV45" s="39"/>
      <c r="AW45" s="39"/>
      <c r="AX45" s="39"/>
      <c r="AY45" s="39"/>
      <c r="AZ45" s="41">
        <v>234.0</v>
      </c>
      <c r="BA45" s="39"/>
      <c r="BB45" s="39"/>
      <c r="BC45" s="39"/>
      <c r="BD45" s="39"/>
      <c r="BE45" s="39"/>
      <c r="BF45" s="39"/>
      <c r="BG45" s="39"/>
      <c r="BH45" s="39"/>
      <c r="BI45" s="41">
        <v>161.0</v>
      </c>
      <c r="BJ45" s="41">
        <v>143.0</v>
      </c>
      <c r="BK45" s="39"/>
      <c r="BL45" s="41">
        <v>242.0</v>
      </c>
      <c r="BM45" s="41">
        <v>76.11</v>
      </c>
      <c r="BN45" s="41">
        <v>17.61</v>
      </c>
      <c r="BO45" s="39"/>
      <c r="BP45" s="39"/>
      <c r="BQ45" s="39"/>
      <c r="BR45" s="41">
        <v>19.4</v>
      </c>
      <c r="BS45" s="41">
        <f>B45+C45+D45+E45+F45+G45+H45+I45+J45+K45+L45+M45+N45+O45+P45+Q45+R45+S45+T45+U45+V45+W45+X45+Y45+Z45+AA45+AB45+AC45+AD45+AE45+AF45+AG45+AH45+AI45+AJ45+AK45+AL45+AM45+AN45+AO45+AP45+AQ45+AR45+AS45+AT45+AU45+AV45+AW45+AX45+AY45+AZ45+BA45+BB45+BC45+BD45+BE45+BF45+BG45+BH45+BI45+BJ45+BK45+BL45+BM45+BN45+BO45+BP45+BQ45+BR45</f>
        <v>2414.94</v>
      </c>
    </row>
    <row r="46" spans="1:71" ht="16">
      <c r="A46" s="32" t="s">
        <v>43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41">
        <v>51.91</v>
      </c>
      <c r="V46" s="41">
        <v>15.3</v>
      </c>
      <c r="W46" s="41">
        <v>45.0</v>
      </c>
      <c r="X46" s="41">
        <v>32.0</v>
      </c>
      <c r="Y46" s="41">
        <v>32.0</v>
      </c>
      <c r="Z46" s="41">
        <v>32.0</v>
      </c>
      <c r="AA46" s="41">
        <v>32.0</v>
      </c>
      <c r="AB46" s="41">
        <v>32.0</v>
      </c>
      <c r="AC46" s="41">
        <v>38.0</v>
      </c>
      <c r="AD46" s="41">
        <v>38.0</v>
      </c>
      <c r="AE46" s="41">
        <v>38.0</v>
      </c>
      <c r="AF46" s="41">
        <v>38.0</v>
      </c>
      <c r="AG46" s="41">
        <v>38.0</v>
      </c>
      <c r="AH46" s="41">
        <v>38.0</v>
      </c>
      <c r="AI46" s="41">
        <v>38.0</v>
      </c>
      <c r="AJ46" s="41">
        <v>38.0</v>
      </c>
      <c r="AK46" s="41">
        <v>38.0</v>
      </c>
      <c r="AL46" s="41">
        <v>45.0</v>
      </c>
      <c r="AM46" s="41">
        <v>45.0</v>
      </c>
      <c r="AN46" s="41">
        <v>75.0</v>
      </c>
      <c r="AO46" s="41">
        <v>15.0</v>
      </c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41">
        <f>B46+C46+D46+E46+F46+G46+H46+I46+J46+K46+L46+M46+N46+O46+P46+Q46+R46+S46+T46+U46+V46+W46+X46+Y46+Z46+AA46+AB46+AC46+AD46+AE46+AF46+AG46+AH46+AI46+AJ46+AK46+AL46+AM46+AN46+AO46+AP46+AQ46+AR46+AS46+AT46+AU46+AV46+AW46+AX46+AY46+AZ46+BA46+BB46+BC46+BD46+BE46+BF46+BG46+BH46+BI46+BJ46+BK46+BL46+BM46+BN46+BO46+BP46+BQ46+BR46</f>
        <v>794.21</v>
      </c>
    </row>
    <row r="47" spans="1:71" ht="16">
      <c r="A47" s="32" t="s">
        <v>44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41">
        <v>43.02</v>
      </c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41">
        <v>50.81</v>
      </c>
      <c r="BR47" s="39"/>
      <c r="BS47" s="41">
        <f>B47+C47+D47+E47+F47+G47+H47+I47+J47+K47+L47+M47+N47+O47+P47+Q47+R47+S47+T47+U47+V47+W47+X47+Y47+Z47+AA47+AB47+AC47+AD47+AE47+AF47+AG47+AH47+AI47+AJ47+AK47+AL47+AM47+AN47+AO47+AP47+AQ47+AR47+AS47+AT47+AU47+AV47+AW47+AX47+AY47+AZ47+BA47+BB47+BC47+BD47+BE47+BF47+BG47+BH47+BI47+BJ47+BK47+BL47+BM47+BN47+BO47+BP47+BQ47+BR47</f>
        <v>93.83000000000001</v>
      </c>
    </row>
    <row r="48" spans="1:71" ht="16">
      <c r="A48" s="32" t="s">
        <v>45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41">
        <v>18332.91</v>
      </c>
      <c r="AA48" s="41">
        <v>15450.0</v>
      </c>
      <c r="AB48" s="41">
        <v>15450.0</v>
      </c>
      <c r="AC48" s="41">
        <v>15450.0</v>
      </c>
      <c r="AD48" s="41">
        <v>15450.0</v>
      </c>
      <c r="AE48" s="41">
        <v>29450.0</v>
      </c>
      <c r="AF48" s="41">
        <v>15544.84</v>
      </c>
      <c r="AG48" s="41">
        <v>15450.0</v>
      </c>
      <c r="AH48" s="41">
        <v>31146.83</v>
      </c>
      <c r="AI48" s="41">
        <v>30900.0</v>
      </c>
      <c r="AJ48" s="41">
        <v>15450.0</v>
      </c>
      <c r="AK48" s="41">
        <v>15450.0</v>
      </c>
      <c r="AL48" s="41">
        <v>5000.0</v>
      </c>
      <c r="AM48" s="41">
        <v>20000.0</v>
      </c>
      <c r="AN48" s="41">
        <v>6000.0</v>
      </c>
      <c r="AO48" s="41">
        <v>7481.01</v>
      </c>
      <c r="AP48" s="41">
        <v>4487.31</v>
      </c>
      <c r="AQ48" s="41">
        <v>2118.45</v>
      </c>
      <c r="AR48" s="41">
        <v>5340.12</v>
      </c>
      <c r="AS48" s="41">
        <v>467.15</v>
      </c>
      <c r="AT48" s="41">
        <v>1671.63</v>
      </c>
      <c r="AU48" s="41">
        <v>426.12</v>
      </c>
      <c r="AV48" s="41">
        <v>375.76</v>
      </c>
      <c r="AW48" s="41">
        <v>147.07</v>
      </c>
      <c r="AX48" s="41">
        <v>238.47</v>
      </c>
      <c r="AY48" s="41">
        <v>4100.4</v>
      </c>
      <c r="AZ48" s="41">
        <v>108.0</v>
      </c>
      <c r="BA48" s="41">
        <v>486.65</v>
      </c>
      <c r="BB48" s="41">
        <v>458.14</v>
      </c>
      <c r="BC48" s="41">
        <v>472.65</v>
      </c>
      <c r="BD48" s="41">
        <v>251.22</v>
      </c>
      <c r="BE48" s="41">
        <v>291.57</v>
      </c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41">
        <f>B48+C48+D48+E48+F48+G48+H48+I48+J48+K48+L48+M48+N48+O48+P48+Q48+R48+S48+T48+U48+V48+W48+X48+Y48+Z48+AA48+AB48+AC48+AD48+AE48+AF48+AG48+AH48+AI48+AJ48+AK48+AL48+AM48+AN48+AO48+AP48+AQ48+AR48+AS48+AT48+AU48+AV48+AW48+AX48+AY48+AZ48+BA48+BB48+BC48+BD48+BE48+BF48+BG48+BH48+BI48+BJ48+BK48+BL48+BM48+BN48+BO48+BP48+BQ48+BR48</f>
        <v>293446.3000000001</v>
      </c>
    </row>
    <row r="49" spans="1:71" ht="16">
      <c r="A49" s="32" t="s">
        <v>46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41">
        <v>818.4</v>
      </c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41">
        <v>818.4</v>
      </c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41">
        <v>800.0</v>
      </c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41">
        <v>800.0</v>
      </c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41">
        <f>B49+C49+D49+E49+F49+G49+H49+I49+J49+K49+L49+M49+N49+O49+P49+Q49+R49+S49+T49+U49+V49+W49+X49+Y49+Z49+AA49+AB49+AC49+AD49+AE49+AF49+AG49+AH49+AI49+AJ49+AK49+AL49+AM49+AN49+AO49+AP49+AQ49+AR49+AS49+AT49+AU49+AV49+AW49+AX49+AY49+AZ49+BA49+BB49+BC49+BD49+BE49+BF49+BG49+BH49+BI49+BJ49+BK49+BL49+BM49+BN49+BO49+BP49+BQ49+BR49</f>
        <v>3236.8</v>
      </c>
    </row>
    <row r="50" spans="1:71" ht="16">
      <c r="A50" s="32" t="s">
        <v>47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41">
        <v>500.0</v>
      </c>
      <c r="AM50" s="41">
        <v>500.0</v>
      </c>
      <c r="AN50" s="41">
        <v>500.0</v>
      </c>
      <c r="AO50" s="41">
        <v>1250.0</v>
      </c>
      <c r="AP50" s="41">
        <v>750.0</v>
      </c>
      <c r="AQ50" s="41">
        <v>1500.0</v>
      </c>
      <c r="AR50" s="41">
        <v>1708.75</v>
      </c>
      <c r="AS50" s="39"/>
      <c r="AT50" s="41">
        <v>1500.0</v>
      </c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41">
        <f>B50+C50+D50+E50+F50+G50+H50+I50+J50+K50+L50+M50+N50+O50+P50+Q50+R50+S50+T50+U50+V50+W50+X50+Y50+Z50+AA50+AB50+AC50+AD50+AE50+AF50+AG50+AH50+AI50+AJ50+AK50+AL50+AM50+AN50+AO50+AP50+AQ50+AR50+AS50+AT50+AU50+AV50+AW50+AX50+AY50+AZ50+BA50+BB50+BC50+BD50+BE50+BF50+BG50+BH50+BI50+BJ50+BK50+BL50+BM50+BN50+BO50+BP50+BQ50+BR50</f>
        <v>8208.75</v>
      </c>
    </row>
    <row r="51" spans="1:71" ht="16">
      <c r="A51" s="32" t="s">
        <v>48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</row>
    <row r="52" spans="1:71" ht="16">
      <c r="A52" s="33" t="s">
        <v>49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41">
        <v>1103.5</v>
      </c>
      <c r="T52" s="41">
        <v>117.96</v>
      </c>
      <c r="U52" s="41">
        <v>1380.93</v>
      </c>
      <c r="V52" s="41">
        <v>3272.87</v>
      </c>
      <c r="W52" s="41">
        <v>739.5</v>
      </c>
      <c r="X52" s="39"/>
      <c r="Y52" s="41">
        <v>1409.6</v>
      </c>
      <c r="Z52" s="41">
        <v>197.95</v>
      </c>
      <c r="AA52" s="39"/>
      <c r="AB52" s="41">
        <v>232.96</v>
      </c>
      <c r="AC52" s="39"/>
      <c r="AD52" s="41">
        <v>223.5</v>
      </c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41">
        <v>35.0</v>
      </c>
      <c r="AQ52" s="39"/>
      <c r="AR52" s="39"/>
      <c r="AS52" s="39"/>
      <c r="AT52" s="41">
        <v>75.0</v>
      </c>
      <c r="AU52" s="39"/>
      <c r="AV52" s="41">
        <v>479.67</v>
      </c>
      <c r="AW52" s="39"/>
      <c r="AX52" s="41">
        <v>357.14</v>
      </c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41">
        <v>410.16</v>
      </c>
      <c r="BN52" s="39"/>
      <c r="BO52" s="39"/>
      <c r="BP52" s="39"/>
      <c r="BQ52" s="39"/>
      <c r="BR52" s="39"/>
      <c r="BS52" s="41">
        <f>B52+C52+D52+E52+F52+G52+H52+I52+J52+K52+L52+M52+N52+O52+P52+Q52+R52+S52+T52+U52+V52+W52+X52+Y52+Z52+AA52+AB52+AC52+AD52+AE52+AF52+AG52+AH52+AI52+AJ52+AK52+AL52+AM52+AN52+AO52+AP52+AQ52+AR52+AS52+AT52+AU52+AV52+AW52+AX52+AY52+AZ52+BA52+BB52+BC52+BD52+BE52+BF52+BG52+BH52+BI52+BJ52+BK52+BL52+BM52+BN52+BO52+BP52+BQ52+BR52</f>
        <v>10035.74</v>
      </c>
    </row>
    <row r="53" spans="1:71" ht="16">
      <c r="A53" s="33" t="s">
        <v>50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41">
        <v>60.28</v>
      </c>
      <c r="T53" s="39"/>
      <c r="U53" s="41">
        <v>617.59</v>
      </c>
      <c r="V53" s="41">
        <v>262.81</v>
      </c>
      <c r="W53" s="41">
        <v>686.37</v>
      </c>
      <c r="X53" s="39"/>
      <c r="Y53" s="41">
        <v>12.98</v>
      </c>
      <c r="Z53" s="41">
        <v>19.92</v>
      </c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41">
        <v>149.83</v>
      </c>
      <c r="AP53" s="41">
        <v>82.98</v>
      </c>
      <c r="AQ53" s="39"/>
      <c r="AR53" s="39"/>
      <c r="AS53" s="39"/>
      <c r="AT53" s="41">
        <v>383.7</v>
      </c>
      <c r="AU53" s="39"/>
      <c r="AV53" s="39"/>
      <c r="AW53" s="39"/>
      <c r="AX53" s="41">
        <v>372.0</v>
      </c>
      <c r="AY53" s="39"/>
      <c r="AZ53" s="41">
        <v>91.6</v>
      </c>
      <c r="BA53" s="39"/>
      <c r="BB53" s="39"/>
      <c r="BC53" s="39"/>
      <c r="BD53" s="41">
        <v>25.93</v>
      </c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41">
        <f>B53+C53+D53+E53+F53+G53+H53+I53+J53+K53+L53+M53+N53+O53+P53+Q53+R53+S53+T53+U53+V53+W53+X53+Y53+Z53+AA53+AB53+AC53+AD53+AE53+AF53+AG53+AH53+AI53+AJ53+AK53+AL53+AM53+AN53+AO53+AP53+AQ53+AR53+AS53+AT53+AU53+AV53+AW53+AX53+AY53+AZ53+BA53+BB53+BC53+BD53+BE53+BF53+BG53+BH53+BI53+BJ53+BK53+BL53+BM53+BN53+BO53+BP53+BQ53+BR53</f>
        <v>2765.99</v>
      </c>
    </row>
    <row r="54" spans="1:71" ht="16">
      <c r="A54" s="33" t="s">
        <v>51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41">
        <v>514.85</v>
      </c>
      <c r="T54" s="39"/>
      <c r="U54" s="41">
        <v>932.14</v>
      </c>
      <c r="V54" s="41">
        <v>-287.94</v>
      </c>
      <c r="W54" s="39"/>
      <c r="X54" s="39"/>
      <c r="Y54" s="41">
        <v>1326.96</v>
      </c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41">
        <v>1060.46</v>
      </c>
      <c r="AU54" s="39"/>
      <c r="AV54" s="39"/>
      <c r="AW54" s="39"/>
      <c r="AX54" s="39"/>
      <c r="AY54" s="39"/>
      <c r="AZ54" s="41">
        <v>765.19</v>
      </c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41">
        <v>474.0</v>
      </c>
      <c r="BQ54" s="39"/>
      <c r="BR54" s="39"/>
      <c r="BS54" s="41">
        <f>B54+C54+D54+E54+F54+G54+H54+I54+J54+K54+L54+M54+N54+O54+P54+Q54+R54+S54+T54+U54+V54+W54+X54+Y54+Z54+AA54+AB54+AC54+AD54+AE54+AF54+AG54+AH54+AI54+AJ54+AK54+AL54+AM54+AN54+AO54+AP54+AQ54+AR54+AS54+AT54+AU54+AV54+AW54+AX54+AY54+AZ54+BA54+BB54+BC54+BD54+BE54+BF54+BG54+BH54+BI54+BJ54+BK54+BL54+BM54+BN54+BO54+BP54+BQ54+BR54</f>
        <v>4785.66</v>
      </c>
    </row>
    <row r="55" spans="1:71" ht="16">
      <c r="A55" s="33" t="s">
        <v>52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41">
        <v>30.0</v>
      </c>
      <c r="S55" s="39"/>
      <c r="T55" s="41">
        <v>147.0</v>
      </c>
      <c r="U55" s="41">
        <v>2.5</v>
      </c>
      <c r="V55" s="41">
        <v>305.0</v>
      </c>
      <c r="W55" s="41">
        <v>60.41</v>
      </c>
      <c r="X55" s="39"/>
      <c r="Y55" s="39"/>
      <c r="Z55" s="41">
        <v>40.0</v>
      </c>
      <c r="AA55" s="39"/>
      <c r="AB55" s="39"/>
      <c r="AC55" s="39"/>
      <c r="AD55" s="41">
        <v>150.0</v>
      </c>
      <c r="AE55" s="39"/>
      <c r="AF55" s="39"/>
      <c r="AG55" s="39"/>
      <c r="AH55" s="39"/>
      <c r="AI55" s="39"/>
      <c r="AJ55" s="39"/>
      <c r="AK55" s="39"/>
      <c r="AL55" s="39"/>
      <c r="AM55" s="41">
        <v>3.0</v>
      </c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41">
        <f>B55+C55+D55+E55+F55+G55+H55+I55+J55+K55+L55+M55+N55+O55+P55+Q55+R55+S55+T55+U55+V55+W55+X55+Y55+Z55+AA55+AB55+AC55+AD55+AE55+AF55+AG55+AH55+AI55+AJ55+AK55+AL55+AM55+AN55+AO55+AP55+AQ55+AR55+AS55+AT55+AU55+AV55+AW55+AX55+AY55+AZ55+BA55+BB55+BC55+BD55+BE55+BF55+BG55+BH55+BI55+BJ55+BK55+BL55+BM55+BN55+BO55+BP55+BQ55+BR55</f>
        <v>737.91</v>
      </c>
    </row>
    <row r="56" spans="1:71" ht="16">
      <c r="A56" s="33" t="s">
        <v>53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41">
        <v>138.83</v>
      </c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41">
        <f>B56+C56+D56+E56+F56+G56+H56+I56+J56+K56+L56+M56+N56+O56+P56+Q56+R56+S56+T56+U56+V56+W56+X56+Y56+Z56+AA56+AB56+AC56+AD56+AE56+AF56+AG56+AH56+AI56+AJ56+AK56+AL56+AM56+AN56+AO56+AP56+AQ56+AR56+AS56+AT56+AU56+AV56+AW56+AX56+AY56+AZ56+BA56+BB56+BC56+BD56+BE56+BF56+BG56+BH56+BI56+BJ56+BK56+BL56+BM56+BN56+BO56+BP56+BQ56+BR56</f>
        <v>138.83</v>
      </c>
    </row>
    <row r="57" spans="1:71" ht="16">
      <c r="A57" s="34" t="s">
        <v>54</v>
      </c>
      <c r="B57" s="40">
        <f>B51+B52+B53+B54+B55+B56</f>
        <v>0.0</v>
      </c>
      <c r="C57" s="40">
        <f>C51+C52+C53+C54+C55+C56</f>
        <v>0.0</v>
      </c>
      <c r="D57" s="40">
        <f>D51+D52+D53+D54+D55+D56</f>
        <v>0.0</v>
      </c>
      <c r="E57" s="40">
        <f>E51+E52+E53+E54+E55+E56</f>
        <v>0.0</v>
      </c>
      <c r="F57" s="40">
        <f>F51+F52+F53+F54+F55+F56</f>
        <v>0.0</v>
      </c>
      <c r="G57" s="40">
        <f>G51+G52+G53+G54+G55+G56</f>
        <v>0.0</v>
      </c>
      <c r="H57" s="40">
        <f>H51+H52+H53+H54+H55+H56</f>
        <v>0.0</v>
      </c>
      <c r="I57" s="40">
        <f>I51+I52+I53+I54+I55+I56</f>
        <v>0.0</v>
      </c>
      <c r="J57" s="40">
        <f>J51+J52+J53+J54+J55+J56</f>
        <v>0.0</v>
      </c>
      <c r="K57" s="40">
        <f>K51+K52+K53+K54+K55+K56</f>
        <v>0.0</v>
      </c>
      <c r="L57" s="40">
        <f>L51+L52+L53+L54+L55+L56</f>
        <v>0.0</v>
      </c>
      <c r="M57" s="40">
        <f>M51+M52+M53+M54+M55+M56</f>
        <v>0.0</v>
      </c>
      <c r="N57" s="40">
        <f>N51+N52+N53+N54+N55+N56</f>
        <v>0.0</v>
      </c>
      <c r="O57" s="40">
        <f>O51+O52+O53+O54+O55+O56</f>
        <v>0.0</v>
      </c>
      <c r="P57" s="40">
        <f>P51+P52+P53+P54+P55+P56</f>
        <v>0.0</v>
      </c>
      <c r="Q57" s="40">
        <f>Q51+Q52+Q53+Q54+Q55+Q56</f>
        <v>0.0</v>
      </c>
      <c r="R57" s="42">
        <f>R51+R52+R53+R54+R55+R56</f>
        <v>30.0</v>
      </c>
      <c r="S57" s="42">
        <f>S51+S52+S53+S54+S55+S56</f>
        <v>1678.63</v>
      </c>
      <c r="T57" s="42">
        <f>T51+T52+T53+T54+T55+T56</f>
        <v>264.96</v>
      </c>
      <c r="U57" s="42">
        <f>U51+U52+U53+U54+U55+U56</f>
        <v>2933.16</v>
      </c>
      <c r="V57" s="42">
        <f>V51+V52+V53+V54+V55+V56</f>
        <v>3691.5699999999997</v>
      </c>
      <c r="W57" s="42">
        <f>W51+W52+W53+W54+W55+W56</f>
        <v>1486.28</v>
      </c>
      <c r="X57" s="40">
        <f>X51+X52+X53+X54+X55+X56</f>
        <v>0.0</v>
      </c>
      <c r="Y57" s="42">
        <f>Y51+Y52+Y53+Y54+Y55+Y56</f>
        <v>2749.54</v>
      </c>
      <c r="Z57" s="42">
        <f>Z51+Z52+Z53+Z54+Z55+Z56</f>
        <v>257.87</v>
      </c>
      <c r="AA57" s="40">
        <f>AA51+AA52+AA53+AA54+AA55+AA56</f>
        <v>0.0</v>
      </c>
      <c r="AB57" s="42">
        <f>AB51+AB52+AB53+AB54+AB55+AB56</f>
        <v>232.96</v>
      </c>
      <c r="AC57" s="40">
        <f>AC51+AC52+AC53+AC54+AC55+AC56</f>
        <v>0.0</v>
      </c>
      <c r="AD57" s="42">
        <f>AD51+AD52+AD53+AD54+AD55+AD56</f>
        <v>373.5</v>
      </c>
      <c r="AE57" s="40">
        <f>AE51+AE52+AE53+AE54+AE55+AE56</f>
        <v>0.0</v>
      </c>
      <c r="AF57" s="40">
        <f>AF51+AF52+AF53+AF54+AF55+AF56</f>
        <v>0.0</v>
      </c>
      <c r="AG57" s="40">
        <f>AG51+AG52+AG53+AG54+AG55+AG56</f>
        <v>0.0</v>
      </c>
      <c r="AH57" s="40">
        <f>AH51+AH52+AH53+AH54+AH55+AH56</f>
        <v>0.0</v>
      </c>
      <c r="AI57" s="40">
        <f>AI51+AI52+AI53+AI54+AI55+AI56</f>
        <v>0.0</v>
      </c>
      <c r="AJ57" s="40">
        <f>AJ51+AJ52+AJ53+AJ54+AJ55+AJ56</f>
        <v>0.0</v>
      </c>
      <c r="AK57" s="40">
        <f>AK51+AK52+AK53+AK54+AK55+AK56</f>
        <v>0.0</v>
      </c>
      <c r="AL57" s="40">
        <f>AL51+AL52+AL53+AL54+AL55+AL56</f>
        <v>0.0</v>
      </c>
      <c r="AM57" s="42">
        <f>AM51+AM52+AM53+AM54+AM55+AM56</f>
        <v>3.0</v>
      </c>
      <c r="AN57" s="40">
        <f>AN51+AN52+AN53+AN54+AN55+AN56</f>
        <v>0.0</v>
      </c>
      <c r="AO57" s="42">
        <f>AO51+AO52+AO53+AO54+AO55+AO56</f>
        <v>149.83</v>
      </c>
      <c r="AP57" s="42">
        <f>AP51+AP52+AP53+AP54+AP55+AP56</f>
        <v>117.98</v>
      </c>
      <c r="AQ57" s="40">
        <f>AQ51+AQ52+AQ53+AQ54+AQ55+AQ56</f>
        <v>0.0</v>
      </c>
      <c r="AR57" s="40">
        <f>AR51+AR52+AR53+AR54+AR55+AR56</f>
        <v>0.0</v>
      </c>
      <c r="AS57" s="40">
        <f>AS51+AS52+AS53+AS54+AS55+AS56</f>
        <v>0.0</v>
      </c>
      <c r="AT57" s="42">
        <f>AT51+AT52+AT53+AT54+AT55+AT56</f>
        <v>1519.16</v>
      </c>
      <c r="AU57" s="40">
        <f>AU51+AU52+AU53+AU54+AU55+AU56</f>
        <v>0.0</v>
      </c>
      <c r="AV57" s="42">
        <f>AV51+AV52+AV53+AV54+AV55+AV56</f>
        <v>479.67</v>
      </c>
      <c r="AW57" s="40">
        <f>AW51+AW52+AW53+AW54+AW55+AW56</f>
        <v>0.0</v>
      </c>
      <c r="AX57" s="42">
        <f>AX51+AX52+AX53+AX54+AX55+AX56</f>
        <v>729.14</v>
      </c>
      <c r="AY57" s="40">
        <f>AY51+AY52+AY53+AY54+AY55+AY56</f>
        <v>0.0</v>
      </c>
      <c r="AZ57" s="42">
        <f>AZ51+AZ52+AZ53+AZ54+AZ55+AZ56</f>
        <v>856.7900000000001</v>
      </c>
      <c r="BA57" s="40">
        <f>BA51+BA52+BA53+BA54+BA55+BA56</f>
        <v>0.0</v>
      </c>
      <c r="BB57" s="40">
        <f>BB51+BB52+BB53+BB54+BB55+BB56</f>
        <v>0.0</v>
      </c>
      <c r="BC57" s="40">
        <f>BC51+BC52+BC53+BC54+BC55+BC56</f>
        <v>0.0</v>
      </c>
      <c r="BD57" s="42">
        <f>BD51+BD52+BD53+BD54+BD55+BD56</f>
        <v>25.93</v>
      </c>
      <c r="BE57" s="40">
        <f>BE51+BE52+BE53+BE54+BE55+BE56</f>
        <v>0.0</v>
      </c>
      <c r="BF57" s="40">
        <f>BF51+BF52+BF53+BF54+BF55+BF56</f>
        <v>0.0</v>
      </c>
      <c r="BG57" s="40">
        <f>BG51+BG52+BG53+BG54+BG55+BG56</f>
        <v>0.0</v>
      </c>
      <c r="BH57" s="40">
        <f>BH51+BH52+BH53+BH54+BH55+BH56</f>
        <v>0.0</v>
      </c>
      <c r="BI57" s="40">
        <f>BI51+BI52+BI53+BI54+BI55+BI56</f>
        <v>0.0</v>
      </c>
      <c r="BJ57" s="40">
        <f>BJ51+BJ52+BJ53+BJ54+BJ55+BJ56</f>
        <v>0.0</v>
      </c>
      <c r="BK57" s="40">
        <f>BK51+BK52+BK53+BK54+BK55+BK56</f>
        <v>0.0</v>
      </c>
      <c r="BL57" s="40">
        <f>BL51+BL52+BL53+BL54+BL55+BL56</f>
        <v>0.0</v>
      </c>
      <c r="BM57" s="42">
        <f>BM51+BM52+BM53+BM54+BM55+BM56</f>
        <v>410.16</v>
      </c>
      <c r="BN57" s="40">
        <f>BN51+BN52+BN53+BN54+BN55+BN56</f>
        <v>0.0</v>
      </c>
      <c r="BO57" s="40">
        <f>BO51+BO52+BO53+BO54+BO55+BO56</f>
        <v>0.0</v>
      </c>
      <c r="BP57" s="42">
        <f>BP51+BP52+BP53+BP54+BP55+BP56</f>
        <v>474.0</v>
      </c>
      <c r="BQ57" s="40">
        <f>BQ51+BQ52+BQ53+BQ54+BQ55+BQ56</f>
        <v>0.0</v>
      </c>
      <c r="BR57" s="40">
        <f>BR51+BR52+BR53+BR54+BR55+BR56</f>
        <v>0.0</v>
      </c>
      <c r="BS57" s="40">
        <f>B57+C57+D57+E57+F57+G57+H57+I57+J57+K57+L57+M57+N57+O57+P57+Q57+R57+S57+T57+U57+V57+W57+X57+Y57+Z57+AA57+AB57+AC57+AD57+AE57+AF57+AG57+AH57+AI57+AJ57+AK57+AL57+AM57+AN57+AO57+AP57+AQ57+AR57+AS57+AT57+AU57+AV57+AW57+AX57+AY57+AZ57+BA57+BB57+BC57+BD57+BE57+BF57+BG57+BH57+BI57+BJ57+BK57+BL57+BM57+BN57+BO57+BP57+BQ57+BR57</f>
        <v>18464.13</v>
      </c>
    </row>
    <row r="58" spans="1:71" ht="16">
      <c r="A58" s="35" t="s">
        <v>55</v>
      </c>
      <c r="B58" s="42">
        <f>B21+B22+B23+B24+B25+B26+B27+B28+B29+B30+B31+B35+B36+B37+B40+B41+B44+B45+B46+B47+B48+B49+B50+B57</f>
        <v>4536.89</v>
      </c>
      <c r="C58" s="42">
        <f>C21+C22+C23+C24+C25+C26+C27+C28+C29+C30+C31+C35+C36+C37+C40+C41+C44+C45+C46+C47+C48+C49+C50+C57</f>
        <v>109.76</v>
      </c>
      <c r="D58" s="42">
        <f>D21+D22+D23+D24+D25+D26+D27+D28+D29+D30+D31+D35+D36+D37+D40+D41+D44+D45+D46+D47+D48+D49+D50+D57</f>
        <v>2661.3900000000003</v>
      </c>
      <c r="E58" s="42">
        <f>E21+E22+E23+E24+E25+E26+E27+E28+E29+E30+E31+E35+E36+E37+E40+E41+E44+E45+E46+E47+E48+E49+E50+E57</f>
        <v>1434.05</v>
      </c>
      <c r="F58" s="42">
        <f>F21+F22+F23+F24+F25+F26+F27+F28+F29+F30+F31+F35+F36+F37+F40+F41+F44+F45+F46+F47+F48+F49+F50+F57</f>
        <v>4731.0</v>
      </c>
      <c r="G58" s="42">
        <f>G21+G22+G23+G24+G25+G26+G27+G28+G29+G30+G31+G35+G36+G37+G40+G41+G44+G45+G46+G47+G48+G49+G50+G57</f>
        <v>29852.719999999998</v>
      </c>
      <c r="H58" s="42">
        <f>H21+H22+H23+H24+H25+H26+H27+H28+H29+H30+H31+H35+H36+H37+H40+H41+H44+H45+H46+H47+H48+H49+H50+H57</f>
        <v>240.98</v>
      </c>
      <c r="I58" s="42">
        <f>I21+I22+I23+I24+I25+I26+I27+I28+I29+I30+I31+I35+I36+I37+I40+I41+I44+I45+I46+I47+I48+I49+I50+I57</f>
        <v>7567.98</v>
      </c>
      <c r="J58" s="42">
        <f>J21+J22+J23+J24+J25+J26+J27+J28+J29+J30+J31+J35+J36+J37+J40+J41+J44+J45+J46+J47+J48+J49+J50+J57</f>
        <v>297.98</v>
      </c>
      <c r="K58" s="42">
        <f>K21+K22+K23+K24+K25+K26+K27+K28+K29+K30+K31+K35+K36+K37+K40+K41+K44+K45+K46+K47+K48+K49+K50+K57</f>
        <v>2730.98</v>
      </c>
      <c r="L58" s="42">
        <f>L21+L22+L23+L24+L25+L26+L27+L28+L29+L30+L31+L35+L36+L37+L40+L41+L44+L45+L46+L47+L48+L49+L50+L57</f>
        <v>8436.31</v>
      </c>
      <c r="M58" s="42">
        <f>M21+M22+M23+M24+M25+M26+M27+M28+M29+M30+M31+M35+M36+M37+M40+M41+M44+M45+M46+M47+M48+M49+M50+M57</f>
        <v>11742.07</v>
      </c>
      <c r="N58" s="42">
        <f>N21+N22+N23+N24+N25+N26+N27+N28+N29+N30+N31+N35+N36+N37+N40+N41+N44+N45+N46+N47+N48+N49+N50+N57</f>
        <v>10079.59</v>
      </c>
      <c r="O58" s="42">
        <f>O21+O22+O23+O24+O25+O26+O27+O28+O29+O30+O31+O35+O36+O37+O40+O41+O44+O45+O46+O47+O48+O49+O50+O57</f>
        <v>8025.98</v>
      </c>
      <c r="P58" s="42">
        <f>P21+P22+P23+P24+P25+P26+P27+P28+P29+P30+P31+P35+P36+P37+P40+P41+P44+P45+P46+P47+P48+P49+P50+P57</f>
        <v>19595.600000000002</v>
      </c>
      <c r="Q58" s="42">
        <f>Q21+Q22+Q23+Q24+Q25+Q26+Q27+Q28+Q29+Q30+Q31+Q35+Q36+Q37+Q40+Q41+Q44+Q45+Q46+Q47+Q48+Q49+Q50+Q57</f>
        <v>8848.37</v>
      </c>
      <c r="R58" s="42">
        <f>R21+R22+R23+R24+R25+R26+R27+R28+R29+R30+R31+R35+R36+R37+R40+R41+R44+R45+R46+R47+R48+R49+R50+R57</f>
        <v>9918.779999999999</v>
      </c>
      <c r="S58" s="42">
        <f>S21+S22+S23+S24+S25+S26+S27+S28+S29+S30+S31+S35+S36+S37+S40+S41+S44+S45+S46+S47+S48+S49+S50+S57</f>
        <v>12751.529999999999</v>
      </c>
      <c r="T58" s="42">
        <f>T21+T22+T23+T24+T25+T26+T27+T28+T29+T30+T31+T35+T36+T37+T40+T41+T44+T45+T46+T47+T48+T49+T50+T57</f>
        <v>3137.13</v>
      </c>
      <c r="U58" s="42">
        <f>U21+U22+U23+U24+U25+U26+U27+U28+U29+U30+U31+U35+U36+U37+U40+U41+U44+U45+U46+U47+U48+U49+U50+U57</f>
        <v>14578.939999999999</v>
      </c>
      <c r="V58" s="42">
        <f>V21+V22+V23+V24+V25+V26+V27+V28+V29+V30+V31+V35+V36+V37+V40+V41+V44+V45+V46+V47+V48+V49+V50+V57</f>
        <v>7125.85</v>
      </c>
      <c r="W58" s="42">
        <f>W21+W22+W23+W24+W25+W26+W27+W28+W29+W30+W31+W35+W36+W37+W40+W41+W44+W45+W46+W47+W48+W49+W50+W57</f>
        <v>9136.79</v>
      </c>
      <c r="X58" s="42">
        <f>X21+X22+X23+X24+X25+X26+X27+X28+X29+X30+X31+X35+X36+X37+X40+X41+X44+X45+X46+X47+X48+X49+X50+X57</f>
        <v>9270.72</v>
      </c>
      <c r="Y58" s="42">
        <f>Y21+Y22+Y23+Y24+Y25+Y26+Y27+Y28+Y29+Y30+Y31+Y35+Y36+Y37+Y40+Y41+Y44+Y45+Y46+Y47+Y48+Y49+Y50+Y57</f>
        <v>6394.96</v>
      </c>
      <c r="Z58" s="42">
        <f>Z21+Z22+Z23+Z24+Z25+Z26+Z27+Z28+Z29+Z30+Z31+Z35+Z36+Z37+Z40+Z41+Z44+Z45+Z46+Z47+Z48+Z49+Z50+Z57</f>
        <v>42162.450000000004</v>
      </c>
      <c r="AA58" s="42">
        <f>AA21+AA22+AA23+AA24+AA25+AA26+AA27+AA28+AA29+AA30+AA31+AA35+AA36+AA37+AA40+AA41+AA44+AA45+AA46+AA47+AA48+AA49+AA50+AA57</f>
        <v>24708.87</v>
      </c>
      <c r="AB58" s="42">
        <f>AB21+AB22+AB23+AB24+AB25+AB26+AB27+AB28+AB29+AB30+AB31+AB35+AB36+AB37+AB40+AB41+AB44+AB45+AB46+AB47+AB48+AB49+AB50+AB57</f>
        <v>21805.39</v>
      </c>
      <c r="AC58" s="42">
        <f>AC21+AC22+AC23+AC24+AC25+AC26+AC27+AC28+AC29+AC30+AC31+AC35+AC36+AC37+AC40+AC41+AC44+AC45+AC46+AC47+AC48+AC49+AC50+AC57</f>
        <v>18360.29</v>
      </c>
      <c r="AD58" s="42">
        <f>AD21+AD22+AD23+AD24+AD25+AD26+AD27+AD28+AD29+AD30+AD31+AD35+AD36+AD37+AD40+AD41+AD44+AD45+AD46+AD47+AD48+AD49+AD50+AD57</f>
        <v>25824.46</v>
      </c>
      <c r="AE58" s="42">
        <f>AE21+AE22+AE23+AE24+AE25+AE26+AE27+AE28+AE29+AE30+AE31+AE35+AE36+AE37+AE40+AE41+AE44+AE45+AE46+AE47+AE48+AE49+AE50+AE57</f>
        <v>39838.69</v>
      </c>
      <c r="AF58" s="42">
        <f>AF21+AF22+AF23+AF24+AF25+AF26+AF27+AF28+AF29+AF30+AF31+AF35+AF36+AF37+AF40+AF41+AF44+AF45+AF46+AF47+AF48+AF49+AF50+AF57</f>
        <v>26882.979999999996</v>
      </c>
      <c r="AG58" s="42">
        <f>AG21+AG22+AG23+AG24+AG25+AG26+AG27+AG28+AG29+AG30+AG31+AG35+AG36+AG37+AG40+AG41+AG44+AG45+AG46+AG47+AG48+AG49+AG50+AG57</f>
        <v>23607.69</v>
      </c>
      <c r="AH58" s="42">
        <f>AH21+AH22+AH23+AH24+AH25+AH26+AH27+AH28+AH29+AH30+AH31+AH35+AH36+AH37+AH40+AH41+AH44+AH45+AH46+AH47+AH48+AH49+AH50+AH57</f>
        <v>37765.19</v>
      </c>
      <c r="AI58" s="42">
        <f>AI21+AI22+AI23+AI24+AI25+AI26+AI27+AI28+AI29+AI30+AI31+AI35+AI36+AI37+AI40+AI41+AI44+AI45+AI46+AI47+AI48+AI49+AI50+AI57</f>
        <v>41551.6</v>
      </c>
      <c r="AJ58" s="42">
        <f>AJ21+AJ22+AJ23+AJ24+AJ25+AJ26+AJ27+AJ28+AJ29+AJ30+AJ31+AJ35+AJ36+AJ37+AJ40+AJ41+AJ44+AJ45+AJ46+AJ47+AJ48+AJ49+AJ50+AJ57</f>
        <v>25202.28</v>
      </c>
      <c r="AK58" s="42">
        <f>AK21+AK22+AK23+AK24+AK25+AK26+AK27+AK28+AK29+AK30+AK31+AK35+AK36+AK37+AK40+AK41+AK44+AK45+AK46+AK47+AK48+AK49+AK50+AK57</f>
        <v>17372.3</v>
      </c>
      <c r="AL58" s="42">
        <f>AL21+AL22+AL23+AL24+AL25+AL26+AL27+AL28+AL29+AL30+AL31+AL35+AL36+AL37+AL40+AL41+AL44+AL45+AL46+AL47+AL48+AL49+AL50+AL57</f>
        <v>12090.2</v>
      </c>
      <c r="AM58" s="42">
        <f>AM21+AM22+AM23+AM24+AM25+AM26+AM27+AM28+AM29+AM30+AM31+AM35+AM36+AM37+AM40+AM41+AM44+AM45+AM46+AM47+AM48+AM49+AM50+AM57</f>
        <v>25672.920000000002</v>
      </c>
      <c r="AN58" s="42">
        <f>AN21+AN22+AN23+AN24+AN25+AN26+AN27+AN28+AN29+AN30+AN31+AN35+AN36+AN37+AN40+AN41+AN44+AN45+AN46+AN47+AN48+AN49+AN50+AN57</f>
        <v>11503.23</v>
      </c>
      <c r="AO58" s="42">
        <f>AO21+AO22+AO23+AO24+AO25+AO26+AO27+AO28+AO29+AO30+AO31+AO35+AO36+AO37+AO40+AO41+AO44+AO45+AO46+AO47+AO48+AO49+AO50+AO57</f>
        <v>16745.010000000002</v>
      </c>
      <c r="AP58" s="42">
        <f>AP21+AP22+AP23+AP24+AP25+AP26+AP27+AP28+AP29+AP30+AP31+AP35+AP36+AP37+AP40+AP41+AP44+AP45+AP46+AP47+AP48+AP49+AP50+AP57</f>
        <v>23765.16</v>
      </c>
      <c r="AQ58" s="42">
        <f>AQ21+AQ22+AQ23+AQ24+AQ25+AQ26+AQ27+AQ28+AQ29+AQ30+AQ31+AQ35+AQ36+AQ37+AQ40+AQ41+AQ44+AQ45+AQ46+AQ47+AQ48+AQ49+AQ50+AQ57</f>
        <v>10546.84</v>
      </c>
      <c r="AR58" s="42">
        <f>AR21+AR22+AR23+AR24+AR25+AR26+AR27+AR28+AR29+AR30+AR31+AR35+AR36+AR37+AR40+AR41+AR44+AR45+AR46+AR47+AR48+AR49+AR50+AR57</f>
        <v>11801.29</v>
      </c>
      <c r="AS58" s="42">
        <f>AS21+AS22+AS23+AS24+AS25+AS26+AS27+AS28+AS29+AS30+AS31+AS35+AS36+AS37+AS40+AS41+AS44+AS45+AS46+AS47+AS48+AS49+AS50+AS57</f>
        <v>7318.57</v>
      </c>
      <c r="AT58" s="42">
        <f>AT21+AT22+AT23+AT24+AT25+AT26+AT27+AT28+AT29+AT30+AT31+AT35+AT36+AT37+AT40+AT41+AT44+AT45+AT46+AT47+AT48+AT49+AT50+AT57</f>
        <v>10824.23</v>
      </c>
      <c r="AU58" s="42">
        <f>AU21+AU22+AU23+AU24+AU25+AU26+AU27+AU28+AU29+AU30+AU31+AU35+AU36+AU37+AU40+AU41+AU44+AU45+AU46+AU47+AU48+AU49+AU50+AU57</f>
        <v>7953.5199999999995</v>
      </c>
      <c r="AV58" s="42">
        <f>AV21+AV22+AV23+AV24+AV25+AV26+AV27+AV28+AV29+AV30+AV31+AV35+AV36+AV37+AV40+AV41+AV44+AV45+AV46+AV47+AV48+AV49+AV50+AV57</f>
        <v>3222.1400000000003</v>
      </c>
      <c r="AW58" s="42">
        <f>AW21+AW22+AW23+AW24+AW25+AW26+AW27+AW28+AW29+AW30+AW31+AW35+AW36+AW37+AW40+AW41+AW44+AW45+AW46+AW47+AW48+AW49+AW50+AW57</f>
        <v>9657.15</v>
      </c>
      <c r="AX58" s="42">
        <f>AX21+AX22+AX23+AX24+AX25+AX26+AX27+AX28+AX29+AX30+AX31+AX35+AX36+AX37+AX40+AX41+AX44+AX45+AX46+AX47+AX48+AX49+AX50+AX57</f>
        <v>8039.140000000001</v>
      </c>
      <c r="AY58" s="42">
        <f>AY21+AY22+AY23+AY24+AY25+AY26+AY27+AY28+AY29+AY30+AY31+AY35+AY36+AY37+AY40+AY41+AY44+AY45+AY46+AY47+AY48+AY49+AY50+AY57</f>
        <v>16595.420000000002</v>
      </c>
      <c r="AZ58" s="42">
        <f>AZ21+AZ22+AZ23+AZ24+AZ25+AZ26+AZ27+AZ28+AZ29+AZ30+AZ31+AZ35+AZ36+AZ37+AZ40+AZ41+AZ44+AZ45+AZ46+AZ47+AZ48+AZ49+AZ50+AZ57</f>
        <v>5935.58</v>
      </c>
      <c r="BA58" s="42">
        <f>BA21+BA22+BA23+BA24+BA25+BA26+BA27+BA28+BA29+BA30+BA31+BA35+BA36+BA37+BA40+BA41+BA44+BA45+BA46+BA47+BA48+BA49+BA50+BA57</f>
        <v>11164.57</v>
      </c>
      <c r="BB58" s="42">
        <f>BB21+BB22+BB23+BB24+BB25+BB26+BB27+BB28+BB29+BB30+BB31+BB35+BB36+BB37+BB40+BB41+BB44+BB45+BB46+BB47+BB48+BB49+BB50+BB57</f>
        <v>4924.840000000001</v>
      </c>
      <c r="BC58" s="42">
        <f>BC21+BC22+BC23+BC24+BC25+BC26+BC27+BC28+BC29+BC30+BC31+BC35+BC36+BC37+BC40+BC41+BC44+BC45+BC46+BC47+BC48+BC49+BC50+BC57</f>
        <v>5967.17</v>
      </c>
      <c r="BD58" s="42">
        <f>BD21+BD22+BD23+BD24+BD25+BD26+BD27+BD28+BD29+BD30+BD31+BD35+BD36+BD37+BD40+BD41+BD44+BD45+BD46+BD47+BD48+BD49+BD50+BD57</f>
        <v>6519.550000000001</v>
      </c>
      <c r="BE58" s="42">
        <f>BE21+BE22+BE23+BE24+BE25+BE26+BE27+BE28+BE29+BE30+BE31+BE35+BE36+BE37+BE40+BE41+BE44+BE45+BE46+BE47+BE48+BE49+BE50+BE57</f>
        <v>5998.25</v>
      </c>
      <c r="BF58" s="42">
        <f>BF21+BF22+BF23+BF24+BF25+BF26+BF27+BF28+BF29+BF30+BF31+BF35+BF36+BF37+BF40+BF41+BF44+BF45+BF46+BF47+BF48+BF49+BF50+BF57</f>
        <v>12750.18</v>
      </c>
      <c r="BG58" s="42">
        <f>BG21+BG22+BG23+BG24+BG25+BG26+BG27+BG28+BG29+BG30+BG31+BG35+BG36+BG37+BG40+BG41+BG44+BG45+BG46+BG47+BG48+BG49+BG50+BG57</f>
        <v>17752.489999999998</v>
      </c>
      <c r="BH58" s="42">
        <f>BH21+BH22+BH23+BH24+BH25+BH26+BH27+BH28+BH29+BH30+BH31+BH35+BH36+BH37+BH40+BH41+BH44+BH45+BH46+BH47+BH48+BH49+BH50+BH57</f>
        <v>14501.35</v>
      </c>
      <c r="BI58" s="42">
        <f>BI21+BI22+BI23+BI24+BI25+BI26+BI27+BI28+BI29+BI30+BI31+BI35+BI36+BI37+BI40+BI41+BI44+BI45+BI46+BI47+BI48+BI49+BI50+BI57</f>
        <v>15535.220000000001</v>
      </c>
      <c r="BJ58" s="42">
        <f>BJ21+BJ22+BJ23+BJ24+BJ25+BJ26+BJ27+BJ28+BJ29+BJ30+BJ31+BJ35+BJ36+BJ37+BJ40+BJ41+BJ44+BJ45+BJ46+BJ47+BJ48+BJ49+BJ50+BJ57</f>
        <v>11978.320000000002</v>
      </c>
      <c r="BK58" s="42">
        <f>BK21+BK22+BK23+BK24+BK25+BK26+BK27+BK28+BK29+BK30+BK31+BK35+BK36+BK37+BK40+BK41+BK44+BK45+BK46+BK47+BK48+BK49+BK50+BK57</f>
        <v>1373.52</v>
      </c>
      <c r="BL58" s="42">
        <f>BL21+BL22+BL23+BL24+BL25+BL26+BL27+BL28+BL29+BL30+BL31+BL35+BL36+BL37+BL40+BL41+BL44+BL45+BL46+BL47+BL48+BL49+BL50+BL57</f>
        <v>19779.51</v>
      </c>
      <c r="BM58" s="42">
        <f>BM21+BM22+BM23+BM24+BM25+BM26+BM27+BM28+BM29+BM30+BM31+BM35+BM36+BM37+BM40+BM41+BM44+BM45+BM46+BM47+BM48+BM49+BM50+BM57</f>
        <v>17123.18</v>
      </c>
      <c r="BN58" s="42">
        <f>BN21+BN22+BN23+BN24+BN25+BN26+BN27+BN28+BN29+BN30+BN31+BN35+BN36+BN37+BN40+BN41+BN44+BN45+BN46+BN47+BN48+BN49+BN50+BN57</f>
        <v>5987.71</v>
      </c>
      <c r="BO58" s="42">
        <f>BO21+BO22+BO23+BO24+BO25+BO26+BO27+BO28+BO29+BO30+BO31+BO35+BO36+BO37+BO40+BO41+BO44+BO45+BO46+BO47+BO48+BO49+BO50+BO57</f>
        <v>10027.77</v>
      </c>
      <c r="BP58" s="42">
        <f>BP21+BP22+BP23+BP24+BP25+BP26+BP27+BP28+BP29+BP30+BP31+BP35+BP36+BP37+BP40+BP41+BP44+BP45+BP46+BP47+BP48+BP49+BP50+BP57</f>
        <v>14179.18</v>
      </c>
      <c r="BQ58" s="42">
        <f>BQ21+BQ22+BQ23+BQ24+BQ25+BQ26+BQ27+BQ28+BQ29+BQ30+BQ31+BQ35+BQ36+BQ37+BQ40+BQ41+BQ44+BQ45+BQ46+BQ47+BQ48+BQ49+BQ50+BQ57</f>
        <v>13647.72</v>
      </c>
      <c r="BR58" s="42">
        <f>BR21+BR22+BR23+BR24+BR25+BR26+BR27+BR28+BR29+BR30+BR31+BR35+BR36+BR37+BR40+BR41+BR44+BR45+BR46+BR47+BR48+BR49+BR50+BR57</f>
        <v>546.6899999999999</v>
      </c>
      <c r="BS58" s="40">
        <f>B58+C58+D58+E58+F58+G58+H58+I58+J58+K58+L58+M58+N58+O58+P58+Q58+R58+S58+T58+U58+V58+W58+X58+Y58+Z58+AA58+AB58+AC58+AD58+AE58+AF58+AG58+AH58+AI58+AJ58+AK58+AL58+AM58+AN58+AO58+AP58+AQ58+AR58+AS58+AT58+AU58+AV58+AW58+AX58+AY58+AZ58+BA58+BB58+BC58+BD58+BE58+BF58+BG58+BH58+BI58+BJ58+BK58+BL58+BM58+BN58+BO58+BP58+BQ58+BR58</f>
        <v>909716.16</v>
      </c>
    </row>
    <row r="59" spans="1:71" ht="16">
      <c r="A59" s="35" t="s">
        <v>56</v>
      </c>
      <c r="B59" s="42">
        <f>B20-B58</f>
        <v>-4536.89</v>
      </c>
      <c r="C59" s="42">
        <f>C20-C58</f>
        <v>-109.76</v>
      </c>
      <c r="D59" s="42">
        <f>D20-D58</f>
        <v>-2661.3900000000003</v>
      </c>
      <c r="E59" s="42">
        <f>E20-E58</f>
        <v>-1434.05</v>
      </c>
      <c r="F59" s="42">
        <f>F20-F58</f>
        <v>-4827.28</v>
      </c>
      <c r="G59" s="42">
        <f>G20-G58</f>
        <v>-34282.72</v>
      </c>
      <c r="H59" s="42">
        <f>H20-H58</f>
        <v>-4742.4</v>
      </c>
      <c r="I59" s="42">
        <f>I20-I58</f>
        <v>-13561.419999999998</v>
      </c>
      <c r="J59" s="42">
        <f>J20-J58</f>
        <v>-297.98</v>
      </c>
      <c r="K59" s="42">
        <f>K20-K58</f>
        <v>-3344.01</v>
      </c>
      <c r="L59" s="42">
        <f>L20-L58</f>
        <v>-8459.35</v>
      </c>
      <c r="M59" s="42">
        <f>M20-M58</f>
        <v>-18054.57</v>
      </c>
      <c r="N59" s="42">
        <f>N20-N58</f>
        <v>-10079.59</v>
      </c>
      <c r="O59" s="42">
        <f>O20-O58</f>
        <v>-8703.71</v>
      </c>
      <c r="P59" s="42">
        <f>P20-P58</f>
        <v>-24905.350000000002</v>
      </c>
      <c r="Q59" s="42">
        <f>Q20-Q58</f>
        <v>-8848.37</v>
      </c>
      <c r="R59" s="42">
        <f>R20-R58</f>
        <v>-11493.279999999999</v>
      </c>
      <c r="S59" s="42">
        <f>S20-S58</f>
        <v>-13253.97</v>
      </c>
      <c r="T59" s="42">
        <f>T20-T58</f>
        <v>-3914.11</v>
      </c>
      <c r="U59" s="42">
        <f>U20-U58</f>
        <v>-14732.319999999998</v>
      </c>
      <c r="V59" s="42">
        <f>V20-V58</f>
        <v>-7141.92</v>
      </c>
      <c r="W59" s="42">
        <f>W20-W58</f>
        <v>-9301.400000000001</v>
      </c>
      <c r="X59" s="42">
        <f>X20-X58</f>
        <v>-9474.21</v>
      </c>
      <c r="Y59" s="42">
        <f>Y20-Y58</f>
        <v>-6608.74</v>
      </c>
      <c r="Z59" s="42">
        <f>Z20-Z58</f>
        <v>-42810.66</v>
      </c>
      <c r="AA59" s="42">
        <f>AA20-AA58</f>
        <v>-31011.61</v>
      </c>
      <c r="AB59" s="42">
        <f>AB20-AB58</f>
        <v>-22081.66</v>
      </c>
      <c r="AC59" s="42">
        <f>AC20-AC58</f>
        <v>-29433.870000000003</v>
      </c>
      <c r="AD59" s="42">
        <f>AD20-AD58</f>
        <v>-9406.5</v>
      </c>
      <c r="AE59" s="42">
        <f>AE20-AE58</f>
        <v>-43241.41</v>
      </c>
      <c r="AF59" s="42">
        <f>AF20-AF58</f>
        <v>-47996.61</v>
      </c>
      <c r="AG59" s="42">
        <f>AG20-AG58</f>
        <v>-44530.09</v>
      </c>
      <c r="AH59" s="42">
        <f>AH20-AH58</f>
        <v>-70827.58</v>
      </c>
      <c r="AI59" s="42">
        <f>AI20-AI58</f>
        <v>-34646.84</v>
      </c>
      <c r="AJ59" s="42">
        <f>AJ20-AJ58</f>
        <v>-47678.42</v>
      </c>
      <c r="AK59" s="42">
        <f>AK20-AK58</f>
        <v>-64151.42</v>
      </c>
      <c r="AL59" s="42">
        <f>AL20-AL58</f>
        <v>-5427.800000000001</v>
      </c>
      <c r="AM59" s="42">
        <f>AM20-AM58</f>
        <v>-16169.170000000002</v>
      </c>
      <c r="AN59" s="42">
        <f>AN20-AN58</f>
        <v>2721.870000000001</v>
      </c>
      <c r="AO59" s="42">
        <f>AO20-AO58</f>
        <v>-10199.340000000004</v>
      </c>
      <c r="AP59" s="42">
        <f>AP20-AP58</f>
        <v>3148.329999999998</v>
      </c>
      <c r="AQ59" s="42">
        <f>AQ20-AQ58</f>
        <v>4427.350000000002</v>
      </c>
      <c r="AR59" s="42">
        <f>AR20-AR58</f>
        <v>-4147.420000000001</v>
      </c>
      <c r="AS59" s="42">
        <f>AS20-AS58</f>
        <v>-1282.1599999999999</v>
      </c>
      <c r="AT59" s="42">
        <f>AT20-AT58</f>
        <v>-5820.739999999999</v>
      </c>
      <c r="AU59" s="42">
        <f>AU20-AU58</f>
        <v>-2399.9300000000003</v>
      </c>
      <c r="AV59" s="42">
        <f>AV20-AV58</f>
        <v>-13299.080000000002</v>
      </c>
      <c r="AW59" s="42">
        <f>AW20-AW58</f>
        <v>-2547.4299999999994</v>
      </c>
      <c r="AX59" s="42">
        <f>AX20-AX58</f>
        <v>-2689.290000000001</v>
      </c>
      <c r="AY59" s="42">
        <f>AY20-AY58</f>
        <v>13960.93</v>
      </c>
      <c r="AZ59" s="42">
        <f>AZ20-AZ58</f>
        <v>-18958.190000000002</v>
      </c>
      <c r="BA59" s="42">
        <f>BA20-BA58</f>
        <v>1672.9799999999996</v>
      </c>
      <c r="BB59" s="42">
        <f>BB20-BB58</f>
        <v>8923.039999999997</v>
      </c>
      <c r="BC59" s="42">
        <f>BC20-BC58</f>
        <v>-19243.590000000004</v>
      </c>
      <c r="BD59" s="42">
        <f>BD20-BD58</f>
        <v>2353.749999999998</v>
      </c>
      <c r="BE59" s="42">
        <f>BE20-BE58</f>
        <v>2358.8499999999985</v>
      </c>
      <c r="BF59" s="42">
        <f>BF20-BF58</f>
        <v>-5637.259999999999</v>
      </c>
      <c r="BG59" s="42">
        <f>BG20-BG58</f>
        <v>-7892.769999999997</v>
      </c>
      <c r="BH59" s="42">
        <f>BH20-BH58</f>
        <v>-1665.4099999999999</v>
      </c>
      <c r="BI59" s="42">
        <f>BI20-BI58</f>
        <v>5397.82</v>
      </c>
      <c r="BJ59" s="42">
        <f>BJ20-BJ58</f>
        <v>-438.21000000000276</v>
      </c>
      <c r="BK59" s="42">
        <f>BK20-BK58</f>
        <v>-19094.73</v>
      </c>
      <c r="BL59" s="42">
        <f>BL20-BL58</f>
        <v>-7407.689999999999</v>
      </c>
      <c r="BM59" s="42">
        <f>BM20-BM58</f>
        <v>12929.269999999997</v>
      </c>
      <c r="BN59" s="42">
        <f>BN20-BN58</f>
        <v>-21601.66</v>
      </c>
      <c r="BO59" s="42">
        <f>BO20-BO58</f>
        <v>6643.769999999997</v>
      </c>
      <c r="BP59" s="42">
        <f>BP20-BP58</f>
        <v>-2140.6800000000003</v>
      </c>
      <c r="BQ59" s="42">
        <f>BQ20-BQ58</f>
        <v>-6352.900000000001</v>
      </c>
      <c r="BR59" s="42">
        <f>BR20-BR58</f>
        <v>-583.6299999999999</v>
      </c>
      <c r="BS59" s="40">
        <f>B59+C59+D59+E59+F59+G59+H59+I59+J59+K59+L59+M59+N59+O59+P59+Q59+R59+S59+T59+U59+V59+W59+X59+Y59+Z59+AA59+AB59+AC59+AD59+AE59+AF59+AG59+AH59+AI59+AJ59+AK59+AL59+AM59+AN59+AO59+AP59+AQ59+AR59+AS59+AT59+AU59+AV59+AW59+AX59+AY59+AZ59+BA59+BB59+BC59+BD59+BE59+BF59+BG59+BH59+BI59+BJ59+BK59+BL59+BM59+BN59+BO59+BP59+BQ59+BR59</f>
        <v>-823046.5800000001</v>
      </c>
    </row>
    <row r="60" spans="1:70" ht="16">
      <c r="A60" s="31" t="s">
        <v>57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</row>
    <row r="61" spans="1:71" ht="16">
      <c r="A61" s="32" t="s">
        <v>58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41">
        <v>25.0</v>
      </c>
      <c r="W61" s="41">
        <v>50.0</v>
      </c>
      <c r="X61" s="39"/>
      <c r="Y61" s="39"/>
      <c r="Z61" s="41">
        <v>25.0</v>
      </c>
      <c r="AA61" s="41">
        <v>25.0</v>
      </c>
      <c r="AB61" s="41">
        <v>25.0</v>
      </c>
      <c r="AC61" s="39"/>
      <c r="AD61" s="41">
        <v>50.0</v>
      </c>
      <c r="AE61" s="39"/>
      <c r="AF61" s="39"/>
      <c r="AG61" s="39"/>
      <c r="AH61" s="39"/>
      <c r="AI61" s="39"/>
      <c r="AJ61" s="41">
        <v>25.0</v>
      </c>
      <c r="AK61" s="41">
        <v>25.0</v>
      </c>
      <c r="AL61" s="39"/>
      <c r="AM61" s="41">
        <v>25.0</v>
      </c>
      <c r="AN61" s="39"/>
      <c r="AO61" s="41">
        <v>25.0</v>
      </c>
      <c r="AP61" s="39"/>
      <c r="AQ61" s="39"/>
      <c r="AR61" s="39"/>
      <c r="AS61" s="39"/>
      <c r="AT61" s="39"/>
      <c r="AU61" s="41">
        <v>25.0</v>
      </c>
      <c r="AV61" s="39"/>
      <c r="AW61" s="39"/>
      <c r="AX61" s="41">
        <v>25.0</v>
      </c>
      <c r="AY61" s="39"/>
      <c r="AZ61" s="41">
        <v>25.0</v>
      </c>
      <c r="BA61" s="39"/>
      <c r="BB61" s="39"/>
      <c r="BC61" s="41">
        <v>25.0</v>
      </c>
      <c r="BD61" s="39"/>
      <c r="BE61" s="39"/>
      <c r="BF61" s="41">
        <v>25.0</v>
      </c>
      <c r="BG61" s="39"/>
      <c r="BH61" s="39"/>
      <c r="BI61" s="41">
        <v>25.0</v>
      </c>
      <c r="BJ61" s="39"/>
      <c r="BK61" s="39"/>
      <c r="BL61" s="39"/>
      <c r="BM61" s="41">
        <v>25.0</v>
      </c>
      <c r="BN61" s="41">
        <v>25.0</v>
      </c>
      <c r="BO61" s="39"/>
      <c r="BP61" s="41">
        <v>25.0</v>
      </c>
      <c r="BQ61" s="39"/>
      <c r="BR61" s="39"/>
      <c r="BS61" s="41">
        <f>B61+C61+D61+E61+F61+G61+H61+I61+J61+K61+L61+M61+N61+O61+P61+Q61+R61+S61+T61+U61+V61+W61+X61+Y61+Z61+AA61+AB61+AC61+AD61+AE61+AF61+AG61+AH61+AI61+AJ61+AK61+AL61+AM61+AN61+AO61+AP61+AQ61+AR61+AS61+AT61+AU61+AV61+AW61+AX61+AY61+AZ61+BA61+BB61+BC61+BD61+BE61+BF61+BG61+BH61+BI61+BJ61+BK61+BL61+BM61+BN61+BO61+BP61+BQ61+BR61</f>
        <v>525.0</v>
      </c>
    </row>
    <row r="62" spans="1:71" ht="16">
      <c r="A62" s="35" t="s">
        <v>59</v>
      </c>
      <c r="B62" s="40">
        <f>B60+B61</f>
        <v>0.0</v>
      </c>
      <c r="C62" s="40">
        <f>C60+C61</f>
        <v>0.0</v>
      </c>
      <c r="D62" s="40">
        <f>D60+D61</f>
        <v>0.0</v>
      </c>
      <c r="E62" s="40">
        <f>E60+E61</f>
        <v>0.0</v>
      </c>
      <c r="F62" s="40">
        <f>F60+F61</f>
        <v>0.0</v>
      </c>
      <c r="G62" s="40">
        <f>G60+G61</f>
        <v>0.0</v>
      </c>
      <c r="H62" s="40">
        <f>H60+H61</f>
        <v>0.0</v>
      </c>
      <c r="I62" s="40">
        <f>I60+I61</f>
        <v>0.0</v>
      </c>
      <c r="J62" s="40">
        <f>J60+J61</f>
        <v>0.0</v>
      </c>
      <c r="K62" s="40">
        <f>K60+K61</f>
        <v>0.0</v>
      </c>
      <c r="L62" s="40">
        <f>L60+L61</f>
        <v>0.0</v>
      </c>
      <c r="M62" s="40">
        <f>M60+M61</f>
        <v>0.0</v>
      </c>
      <c r="N62" s="40">
        <f>N60+N61</f>
        <v>0.0</v>
      </c>
      <c r="O62" s="40">
        <f>O60+O61</f>
        <v>0.0</v>
      </c>
      <c r="P62" s="40">
        <f>P60+P61</f>
        <v>0.0</v>
      </c>
      <c r="Q62" s="40">
        <f>Q60+Q61</f>
        <v>0.0</v>
      </c>
      <c r="R62" s="40">
        <f>R60+R61</f>
        <v>0.0</v>
      </c>
      <c r="S62" s="40">
        <f>S60+S61</f>
        <v>0.0</v>
      </c>
      <c r="T62" s="40">
        <f>T60+T61</f>
        <v>0.0</v>
      </c>
      <c r="U62" s="40">
        <f>U60+U61</f>
        <v>0.0</v>
      </c>
      <c r="V62" s="42">
        <f>V60+V61</f>
        <v>25.0</v>
      </c>
      <c r="W62" s="42">
        <f>W60+W61</f>
        <v>50.0</v>
      </c>
      <c r="X62" s="40">
        <f>X60+X61</f>
        <v>0.0</v>
      </c>
      <c r="Y62" s="40">
        <f>Y60+Y61</f>
        <v>0.0</v>
      </c>
      <c r="Z62" s="42">
        <f>Z60+Z61</f>
        <v>25.0</v>
      </c>
      <c r="AA62" s="42">
        <f>AA60+AA61</f>
        <v>25.0</v>
      </c>
      <c r="AB62" s="42">
        <f>AB60+AB61</f>
        <v>25.0</v>
      </c>
      <c r="AC62" s="40">
        <f>AC60+AC61</f>
        <v>0.0</v>
      </c>
      <c r="AD62" s="42">
        <f>AD60+AD61</f>
        <v>50.0</v>
      </c>
      <c r="AE62" s="40">
        <f>AE60+AE61</f>
        <v>0.0</v>
      </c>
      <c r="AF62" s="40">
        <f>AF60+AF61</f>
        <v>0.0</v>
      </c>
      <c r="AG62" s="40">
        <f>AG60+AG61</f>
        <v>0.0</v>
      </c>
      <c r="AH62" s="40">
        <f>AH60+AH61</f>
        <v>0.0</v>
      </c>
      <c r="AI62" s="40">
        <f>AI60+AI61</f>
        <v>0.0</v>
      </c>
      <c r="AJ62" s="42">
        <f>AJ60+AJ61</f>
        <v>25.0</v>
      </c>
      <c r="AK62" s="42">
        <f>AK60+AK61</f>
        <v>25.0</v>
      </c>
      <c r="AL62" s="40">
        <f>AL60+AL61</f>
        <v>0.0</v>
      </c>
      <c r="AM62" s="42">
        <f>AM60+AM61</f>
        <v>25.0</v>
      </c>
      <c r="AN62" s="40">
        <f>AN60+AN61</f>
        <v>0.0</v>
      </c>
      <c r="AO62" s="42">
        <f>AO60+AO61</f>
        <v>25.0</v>
      </c>
      <c r="AP62" s="40">
        <f>AP60+AP61</f>
        <v>0.0</v>
      </c>
      <c r="AQ62" s="40">
        <f>AQ60+AQ61</f>
        <v>0.0</v>
      </c>
      <c r="AR62" s="40">
        <f>AR60+AR61</f>
        <v>0.0</v>
      </c>
      <c r="AS62" s="40">
        <f>AS60+AS61</f>
        <v>0.0</v>
      </c>
      <c r="AT62" s="40">
        <f>AT60+AT61</f>
        <v>0.0</v>
      </c>
      <c r="AU62" s="42">
        <f>AU60+AU61</f>
        <v>25.0</v>
      </c>
      <c r="AV62" s="40">
        <f>AV60+AV61</f>
        <v>0.0</v>
      </c>
      <c r="AW62" s="40">
        <f>AW60+AW61</f>
        <v>0.0</v>
      </c>
      <c r="AX62" s="42">
        <f>AX60+AX61</f>
        <v>25.0</v>
      </c>
      <c r="AY62" s="40">
        <f>AY60+AY61</f>
        <v>0.0</v>
      </c>
      <c r="AZ62" s="42">
        <f>AZ60+AZ61</f>
        <v>25.0</v>
      </c>
      <c r="BA62" s="40">
        <f>BA60+BA61</f>
        <v>0.0</v>
      </c>
      <c r="BB62" s="40">
        <f>BB60+BB61</f>
        <v>0.0</v>
      </c>
      <c r="BC62" s="42">
        <f>BC60+BC61</f>
        <v>25.0</v>
      </c>
      <c r="BD62" s="40">
        <f>BD60+BD61</f>
        <v>0.0</v>
      </c>
      <c r="BE62" s="40">
        <f>BE60+BE61</f>
        <v>0.0</v>
      </c>
      <c r="BF62" s="42">
        <f>BF60+BF61</f>
        <v>25.0</v>
      </c>
      <c r="BG62" s="40">
        <f>BG60+BG61</f>
        <v>0.0</v>
      </c>
      <c r="BH62" s="40">
        <f>BH60+BH61</f>
        <v>0.0</v>
      </c>
      <c r="BI62" s="42">
        <f>BI60+BI61</f>
        <v>25.0</v>
      </c>
      <c r="BJ62" s="40">
        <f>BJ60+BJ61</f>
        <v>0.0</v>
      </c>
      <c r="BK62" s="40">
        <f>BK60+BK61</f>
        <v>0.0</v>
      </c>
      <c r="BL62" s="40">
        <f>BL60+BL61</f>
        <v>0.0</v>
      </c>
      <c r="BM62" s="42">
        <f>BM60+BM61</f>
        <v>25.0</v>
      </c>
      <c r="BN62" s="42">
        <f>BN60+BN61</f>
        <v>25.0</v>
      </c>
      <c r="BO62" s="40">
        <f>BO60+BO61</f>
        <v>0.0</v>
      </c>
      <c r="BP62" s="42">
        <f>BP60+BP61</f>
        <v>25.0</v>
      </c>
      <c r="BQ62" s="40">
        <f>BQ60+BQ61</f>
        <v>0.0</v>
      </c>
      <c r="BR62" s="40">
        <f>BR60+BR61</f>
        <v>0.0</v>
      </c>
      <c r="BS62" s="40">
        <f>B62+C62+D62+E62+F62+G62+H62+I62+J62+K62+L62+M62+N62+O62+P62+Q62+R62+S62+T62+U62+V62+W62+X62+Y62+Z62+AA62+AB62+AC62+AD62+AE62+AF62+AG62+AH62+AI62+AJ62+AK62+AL62+AM62+AN62+AO62+AP62+AQ62+AR62+AS62+AT62+AU62+AV62+AW62+AX62+AY62+AZ62+BA62+BB62+BC62+BD62+BE62+BF62+BG62+BH62+BI62+BJ62+BK62+BL62+BM62+BN62+BO62+BP62+BQ62+BR62</f>
        <v>525.0</v>
      </c>
    </row>
    <row r="63" spans="1:70" ht="16">
      <c r="A63" s="31" t="s">
        <v>60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</row>
    <row r="64" spans="1:71" ht="16">
      <c r="A64" s="32" t="s">
        <v>61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41">
        <v>30406.0</v>
      </c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41">
        <v>6430.0</v>
      </c>
      <c r="BJ64" s="39"/>
      <c r="BK64" s="39"/>
      <c r="BL64" s="39"/>
      <c r="BM64" s="39"/>
      <c r="BN64" s="39"/>
      <c r="BO64" s="39"/>
      <c r="BP64" s="39"/>
      <c r="BQ64" s="39"/>
      <c r="BR64" s="39"/>
      <c r="BS64" s="41">
        <f>B64+C64+D64+E64+F64+G64+H64+I64+J64+K64+L64+M64+N64+O64+P64+Q64+R64+S64+T64+U64+V64+W64+X64+Y64+Z64+AA64+AB64+AC64+AD64+AE64+AF64+AG64+AH64+AI64+AJ64+AK64+AL64+AM64+AN64+AO64+AP64+AQ64+AR64+AS64+AT64+AU64+AV64+AW64+AX64+AY64+AZ64+BA64+BB64+BC64+BD64+BE64+BF64+BG64+BH64+BI64+BJ64+BK64+BL64+BM64+BN64+BO64+BP64+BQ64+BR64</f>
        <v>36836.0</v>
      </c>
    </row>
    <row r="65" spans="1:71" ht="16">
      <c r="A65" s="35" t="s">
        <v>62</v>
      </c>
      <c r="B65" s="40">
        <f>B63+B64</f>
        <v>0.0</v>
      </c>
      <c r="C65" s="40">
        <f>C63+C64</f>
        <v>0.0</v>
      </c>
      <c r="D65" s="40">
        <f>D63+D64</f>
        <v>0.0</v>
      </c>
      <c r="E65" s="40">
        <f>E63+E64</f>
        <v>0.0</v>
      </c>
      <c r="F65" s="40">
        <f>F63+F64</f>
        <v>0.0</v>
      </c>
      <c r="G65" s="40">
        <f>G63+G64</f>
        <v>0.0</v>
      </c>
      <c r="H65" s="40">
        <f>H63+H64</f>
        <v>0.0</v>
      </c>
      <c r="I65" s="40">
        <f>I63+I64</f>
        <v>0.0</v>
      </c>
      <c r="J65" s="40">
        <f>J63+J64</f>
        <v>0.0</v>
      </c>
      <c r="K65" s="40">
        <f>K63+K64</f>
        <v>0.0</v>
      </c>
      <c r="L65" s="40">
        <f>L63+L64</f>
        <v>0.0</v>
      </c>
      <c r="M65" s="40">
        <f>M63+M64</f>
        <v>0.0</v>
      </c>
      <c r="N65" s="40">
        <f>N63+N64</f>
        <v>0.0</v>
      </c>
      <c r="O65" s="40">
        <f>O63+O64</f>
        <v>0.0</v>
      </c>
      <c r="P65" s="40">
        <f>P63+P64</f>
        <v>0.0</v>
      </c>
      <c r="Q65" s="40">
        <f>Q63+Q64</f>
        <v>0.0</v>
      </c>
      <c r="R65" s="40">
        <f>R63+R64</f>
        <v>0.0</v>
      </c>
      <c r="S65" s="40">
        <f>S63+S64</f>
        <v>0.0</v>
      </c>
      <c r="T65" s="40">
        <f>T63+T64</f>
        <v>0.0</v>
      </c>
      <c r="U65" s="40">
        <f>U63+U64</f>
        <v>0.0</v>
      </c>
      <c r="V65" s="40">
        <f>V63+V64</f>
        <v>0.0</v>
      </c>
      <c r="W65" s="40">
        <f>W63+W64</f>
        <v>0.0</v>
      </c>
      <c r="X65" s="40">
        <f>X63+X64</f>
        <v>0.0</v>
      </c>
      <c r="Y65" s="40">
        <f>Y63+Y64</f>
        <v>0.0</v>
      </c>
      <c r="Z65" s="40">
        <f>Z63+Z64</f>
        <v>0.0</v>
      </c>
      <c r="AA65" s="40">
        <f>AA63+AA64</f>
        <v>0.0</v>
      </c>
      <c r="AB65" s="40">
        <f>AB63+AB64</f>
        <v>0.0</v>
      </c>
      <c r="AC65" s="40">
        <f>AC63+AC64</f>
        <v>0.0</v>
      </c>
      <c r="AD65" s="40">
        <f>AD63+AD64</f>
        <v>0.0</v>
      </c>
      <c r="AE65" s="40">
        <f>AE63+AE64</f>
        <v>0.0</v>
      </c>
      <c r="AF65" s="40">
        <f>AF63+AF64</f>
        <v>0.0</v>
      </c>
      <c r="AG65" s="40">
        <f>AG63+AG64</f>
        <v>0.0</v>
      </c>
      <c r="AH65" s="40">
        <f>AH63+AH64</f>
        <v>0.0</v>
      </c>
      <c r="AI65" s="40">
        <f>AI63+AI64</f>
        <v>0.0</v>
      </c>
      <c r="AJ65" s="40">
        <f>AJ63+AJ64</f>
        <v>0.0</v>
      </c>
      <c r="AK65" s="40">
        <f>AK63+AK64</f>
        <v>0.0</v>
      </c>
      <c r="AL65" s="40">
        <f>AL63+AL64</f>
        <v>0.0</v>
      </c>
      <c r="AM65" s="40">
        <f>AM63+AM64</f>
        <v>0.0</v>
      </c>
      <c r="AN65" s="40">
        <f>AN63+AN64</f>
        <v>0.0</v>
      </c>
      <c r="AO65" s="40">
        <f>AO63+AO64</f>
        <v>0.0</v>
      </c>
      <c r="AP65" s="40">
        <f>AP63+AP64</f>
        <v>0.0</v>
      </c>
      <c r="AQ65" s="40">
        <f>AQ63+AQ64</f>
        <v>0.0</v>
      </c>
      <c r="AR65" s="40">
        <f>AR63+AR64</f>
        <v>0.0</v>
      </c>
      <c r="AS65" s="40">
        <f>AS63+AS64</f>
        <v>0.0</v>
      </c>
      <c r="AT65" s="40">
        <f>AT63+AT64</f>
        <v>0.0</v>
      </c>
      <c r="AU65" s="40">
        <f>AU63+AU64</f>
        <v>0.0</v>
      </c>
      <c r="AV65" s="40">
        <f>AV63+AV64</f>
        <v>0.0</v>
      </c>
      <c r="AW65" s="42">
        <f>AW63+AW64</f>
        <v>30406.0</v>
      </c>
      <c r="AX65" s="40">
        <f>AX63+AX64</f>
        <v>0.0</v>
      </c>
      <c r="AY65" s="40">
        <f>AY63+AY64</f>
        <v>0.0</v>
      </c>
      <c r="AZ65" s="40">
        <f>AZ63+AZ64</f>
        <v>0.0</v>
      </c>
      <c r="BA65" s="40">
        <f>BA63+BA64</f>
        <v>0.0</v>
      </c>
      <c r="BB65" s="40">
        <f>BB63+BB64</f>
        <v>0.0</v>
      </c>
      <c r="BC65" s="40">
        <f>BC63+BC64</f>
        <v>0.0</v>
      </c>
      <c r="BD65" s="40">
        <f>BD63+BD64</f>
        <v>0.0</v>
      </c>
      <c r="BE65" s="40">
        <f>BE63+BE64</f>
        <v>0.0</v>
      </c>
      <c r="BF65" s="40">
        <f>BF63+BF64</f>
        <v>0.0</v>
      </c>
      <c r="BG65" s="40">
        <f>BG63+BG64</f>
        <v>0.0</v>
      </c>
      <c r="BH65" s="40">
        <f>BH63+BH64</f>
        <v>0.0</v>
      </c>
      <c r="BI65" s="42">
        <f>BI63+BI64</f>
        <v>6430.0</v>
      </c>
      <c r="BJ65" s="40">
        <f>BJ63+BJ64</f>
        <v>0.0</v>
      </c>
      <c r="BK65" s="40">
        <f>BK63+BK64</f>
        <v>0.0</v>
      </c>
      <c r="BL65" s="40">
        <f>BL63+BL64</f>
        <v>0.0</v>
      </c>
      <c r="BM65" s="40">
        <f>BM63+BM64</f>
        <v>0.0</v>
      </c>
      <c r="BN65" s="40">
        <f>BN63+BN64</f>
        <v>0.0</v>
      </c>
      <c r="BO65" s="40">
        <f>BO63+BO64</f>
        <v>0.0</v>
      </c>
      <c r="BP65" s="40">
        <f>BP63+BP64</f>
        <v>0.0</v>
      </c>
      <c r="BQ65" s="40">
        <f>BQ63+BQ64</f>
        <v>0.0</v>
      </c>
      <c r="BR65" s="40">
        <f>BR63+BR64</f>
        <v>0.0</v>
      </c>
      <c r="BS65" s="40">
        <f>B65+C65+D65+E65+F65+G65+H65+I65+J65+K65+L65+M65+N65+O65+P65+Q65+R65+S65+T65+U65+V65+W65+X65+Y65+Z65+AA65+AB65+AC65+AD65+AE65+AF65+AG65+AH65+AI65+AJ65+AK65+AL65+AM65+AN65+AO65+AP65+AQ65+AR65+AS65+AT65+AU65+AV65+AW65+AX65+AY65+AZ65+BA65+BB65+BC65+BD65+BE65+BF65+BG65+BH65+BI65+BJ65+BK65+BL65+BM65+BN65+BO65+BP65+BQ65+BR65</f>
        <v>36836.0</v>
      </c>
    </row>
    <row r="66" spans="1:71" ht="16">
      <c r="A66" s="35" t="s">
        <v>63</v>
      </c>
      <c r="B66" s="40">
        <f>B62-B65</f>
        <v>0.0</v>
      </c>
      <c r="C66" s="40">
        <f>C62-C65</f>
        <v>0.0</v>
      </c>
      <c r="D66" s="40">
        <f>D62-D65</f>
        <v>0.0</v>
      </c>
      <c r="E66" s="40">
        <f>E62-E65</f>
        <v>0.0</v>
      </c>
      <c r="F66" s="40">
        <f>F62-F65</f>
        <v>0.0</v>
      </c>
      <c r="G66" s="40">
        <f>G62-G65</f>
        <v>0.0</v>
      </c>
      <c r="H66" s="40">
        <f>H62-H65</f>
        <v>0.0</v>
      </c>
      <c r="I66" s="40">
        <f>I62-I65</f>
        <v>0.0</v>
      </c>
      <c r="J66" s="40">
        <f>J62-J65</f>
        <v>0.0</v>
      </c>
      <c r="K66" s="40">
        <f>K62-K65</f>
        <v>0.0</v>
      </c>
      <c r="L66" s="40">
        <f>L62-L65</f>
        <v>0.0</v>
      </c>
      <c r="M66" s="40">
        <f>M62-M65</f>
        <v>0.0</v>
      </c>
      <c r="N66" s="40">
        <f>N62-N65</f>
        <v>0.0</v>
      </c>
      <c r="O66" s="40">
        <f>O62-O65</f>
        <v>0.0</v>
      </c>
      <c r="P66" s="40">
        <f>P62-P65</f>
        <v>0.0</v>
      </c>
      <c r="Q66" s="40">
        <f>Q62-Q65</f>
        <v>0.0</v>
      </c>
      <c r="R66" s="40">
        <f>R62-R65</f>
        <v>0.0</v>
      </c>
      <c r="S66" s="40">
        <f>S62-S65</f>
        <v>0.0</v>
      </c>
      <c r="T66" s="40">
        <f>T62-T65</f>
        <v>0.0</v>
      </c>
      <c r="U66" s="40">
        <f>U62-U65</f>
        <v>0.0</v>
      </c>
      <c r="V66" s="42">
        <f>V62-V65</f>
        <v>25.0</v>
      </c>
      <c r="W66" s="42">
        <f>W62-W65</f>
        <v>50.0</v>
      </c>
      <c r="X66" s="40">
        <f>X62-X65</f>
        <v>0.0</v>
      </c>
      <c r="Y66" s="40">
        <f>Y62-Y65</f>
        <v>0.0</v>
      </c>
      <c r="Z66" s="42">
        <f>Z62-Z65</f>
        <v>25.0</v>
      </c>
      <c r="AA66" s="42">
        <f>AA62-AA65</f>
        <v>25.0</v>
      </c>
      <c r="AB66" s="42">
        <f>AB62-AB65</f>
        <v>25.0</v>
      </c>
      <c r="AC66" s="40">
        <f>AC62-AC65</f>
        <v>0.0</v>
      </c>
      <c r="AD66" s="42">
        <f>AD62-AD65</f>
        <v>50.0</v>
      </c>
      <c r="AE66" s="40">
        <f>AE62-AE65</f>
        <v>0.0</v>
      </c>
      <c r="AF66" s="40">
        <f>AF62-AF65</f>
        <v>0.0</v>
      </c>
      <c r="AG66" s="40">
        <f>AG62-AG65</f>
        <v>0.0</v>
      </c>
      <c r="AH66" s="40">
        <f>AH62-AH65</f>
        <v>0.0</v>
      </c>
      <c r="AI66" s="40">
        <f>AI62-AI65</f>
        <v>0.0</v>
      </c>
      <c r="AJ66" s="42">
        <f>AJ62-AJ65</f>
        <v>25.0</v>
      </c>
      <c r="AK66" s="42">
        <f>AK62-AK65</f>
        <v>25.0</v>
      </c>
      <c r="AL66" s="40">
        <f>AL62-AL65</f>
        <v>0.0</v>
      </c>
      <c r="AM66" s="42">
        <f>AM62-AM65</f>
        <v>25.0</v>
      </c>
      <c r="AN66" s="40">
        <f>AN62-AN65</f>
        <v>0.0</v>
      </c>
      <c r="AO66" s="42">
        <f>AO62-AO65</f>
        <v>25.0</v>
      </c>
      <c r="AP66" s="40">
        <f>AP62-AP65</f>
        <v>0.0</v>
      </c>
      <c r="AQ66" s="40">
        <f>AQ62-AQ65</f>
        <v>0.0</v>
      </c>
      <c r="AR66" s="40">
        <f>AR62-AR65</f>
        <v>0.0</v>
      </c>
      <c r="AS66" s="40">
        <f>AS62-AS65</f>
        <v>0.0</v>
      </c>
      <c r="AT66" s="40">
        <f>AT62-AT65</f>
        <v>0.0</v>
      </c>
      <c r="AU66" s="42">
        <f>AU62-AU65</f>
        <v>25.0</v>
      </c>
      <c r="AV66" s="40">
        <f>AV62-AV65</f>
        <v>0.0</v>
      </c>
      <c r="AW66" s="42">
        <f>AW62-AW65</f>
        <v>-30406.0</v>
      </c>
      <c r="AX66" s="42">
        <f>AX62-AX65</f>
        <v>25.0</v>
      </c>
      <c r="AY66" s="40">
        <f>AY62-AY65</f>
        <v>0.0</v>
      </c>
      <c r="AZ66" s="42">
        <f>AZ62-AZ65</f>
        <v>25.0</v>
      </c>
      <c r="BA66" s="40">
        <f>BA62-BA65</f>
        <v>0.0</v>
      </c>
      <c r="BB66" s="40">
        <f>BB62-BB65</f>
        <v>0.0</v>
      </c>
      <c r="BC66" s="42">
        <f>BC62-BC65</f>
        <v>25.0</v>
      </c>
      <c r="BD66" s="40">
        <f>BD62-BD65</f>
        <v>0.0</v>
      </c>
      <c r="BE66" s="40">
        <f>BE62-BE65</f>
        <v>0.0</v>
      </c>
      <c r="BF66" s="42">
        <f>BF62-BF65</f>
        <v>25.0</v>
      </c>
      <c r="BG66" s="40">
        <f>BG62-BG65</f>
        <v>0.0</v>
      </c>
      <c r="BH66" s="40">
        <f>BH62-BH65</f>
        <v>0.0</v>
      </c>
      <c r="BI66" s="42">
        <f>BI62-BI65</f>
        <v>-6405.0</v>
      </c>
      <c r="BJ66" s="40">
        <f>BJ62-BJ65</f>
        <v>0.0</v>
      </c>
      <c r="BK66" s="40">
        <f>BK62-BK65</f>
        <v>0.0</v>
      </c>
      <c r="BL66" s="40">
        <f>BL62-BL65</f>
        <v>0.0</v>
      </c>
      <c r="BM66" s="42">
        <f>BM62-BM65</f>
        <v>25.0</v>
      </c>
      <c r="BN66" s="42">
        <f>BN62-BN65</f>
        <v>25.0</v>
      </c>
      <c r="BO66" s="40">
        <f>BO62-BO65</f>
        <v>0.0</v>
      </c>
      <c r="BP66" s="42">
        <f>BP62-BP65</f>
        <v>25.0</v>
      </c>
      <c r="BQ66" s="40">
        <f>BQ62-BQ65</f>
        <v>0.0</v>
      </c>
      <c r="BR66" s="40">
        <f>BR62-BR65</f>
        <v>0.0</v>
      </c>
      <c r="BS66" s="40">
        <f>B66+C66+D66+E66+F66+G66+H66+I66+J66+K66+L66+M66+N66+O66+P66+Q66+R66+S66+T66+U66+V66+W66+X66+Y66+Z66+AA66+AB66+AC66+AD66+AE66+AF66+AG66+AH66+AI66+AJ66+AK66+AL66+AM66+AN66+AO66+AP66+AQ66+AR66+AS66+AT66+AU66+AV66+AW66+AX66+AY66+AZ66+BA66+BB66+BC66+BD66+BE66+BF66+BG66+BH66+BI66+BJ66+BK66+BL66+BM66+BN66+BO66+BP66+BQ66+BR66</f>
        <v>-36311.0</v>
      </c>
    </row>
    <row r="67" spans="1:71" ht="16">
      <c r="A67" s="35" t="s">
        <v>64</v>
      </c>
      <c r="B67" s="42">
        <f>B59+B66</f>
        <v>-4536.89</v>
      </c>
      <c r="C67" s="42">
        <f>C59+C66</f>
        <v>-109.76</v>
      </c>
      <c r="D67" s="42">
        <f>D59+D66</f>
        <v>-2661.3900000000003</v>
      </c>
      <c r="E67" s="42">
        <f>E59+E66</f>
        <v>-1434.05</v>
      </c>
      <c r="F67" s="42">
        <f>F59+F66</f>
        <v>-4827.28</v>
      </c>
      <c r="G67" s="42">
        <f>G59+G66</f>
        <v>-34282.72</v>
      </c>
      <c r="H67" s="42">
        <f>H59+H66</f>
        <v>-4742.4</v>
      </c>
      <c r="I67" s="42">
        <f>I59+I66</f>
        <v>-13561.419999999998</v>
      </c>
      <c r="J67" s="42">
        <f>J59+J66</f>
        <v>-297.98</v>
      </c>
      <c r="K67" s="42">
        <f>K59+K66</f>
        <v>-3344.01</v>
      </c>
      <c r="L67" s="42">
        <f>L59+L66</f>
        <v>-8459.35</v>
      </c>
      <c r="M67" s="42">
        <f>M59+M66</f>
        <v>-18054.57</v>
      </c>
      <c r="N67" s="42">
        <f>N59+N66</f>
        <v>-10079.59</v>
      </c>
      <c r="O67" s="42">
        <f>O59+O66</f>
        <v>-8703.71</v>
      </c>
      <c r="P67" s="42">
        <f>P59+P66</f>
        <v>-24905.350000000002</v>
      </c>
      <c r="Q67" s="42">
        <f>Q59+Q66</f>
        <v>-8848.37</v>
      </c>
      <c r="R67" s="42">
        <f>R59+R66</f>
        <v>-11493.279999999999</v>
      </c>
      <c r="S67" s="42">
        <f>S59+S66</f>
        <v>-13253.97</v>
      </c>
      <c r="T67" s="42">
        <f>T59+T66</f>
        <v>-3914.11</v>
      </c>
      <c r="U67" s="42">
        <f>U59+U66</f>
        <v>-14732.319999999998</v>
      </c>
      <c r="V67" s="42">
        <f>V59+V66</f>
        <v>-7116.92</v>
      </c>
      <c r="W67" s="42">
        <f>W59+W66</f>
        <v>-9251.400000000001</v>
      </c>
      <c r="X67" s="42">
        <f>X59+X66</f>
        <v>-9474.21</v>
      </c>
      <c r="Y67" s="42">
        <f>Y59+Y66</f>
        <v>-6608.74</v>
      </c>
      <c r="Z67" s="42">
        <f>Z59+Z66</f>
        <v>-42785.66</v>
      </c>
      <c r="AA67" s="42">
        <f>AA59+AA66</f>
        <v>-30986.61</v>
      </c>
      <c r="AB67" s="42">
        <f>AB59+AB66</f>
        <v>-22056.66</v>
      </c>
      <c r="AC67" s="42">
        <f>AC59+AC66</f>
        <v>-29433.870000000003</v>
      </c>
      <c r="AD67" s="42">
        <f>AD59+AD66</f>
        <v>-9356.5</v>
      </c>
      <c r="AE67" s="42">
        <f>AE59+AE66</f>
        <v>-43241.41</v>
      </c>
      <c r="AF67" s="42">
        <f>AF59+AF66</f>
        <v>-47996.61</v>
      </c>
      <c r="AG67" s="42">
        <f>AG59+AG66</f>
        <v>-44530.09</v>
      </c>
      <c r="AH67" s="42">
        <f>AH59+AH66</f>
        <v>-70827.58</v>
      </c>
      <c r="AI67" s="42">
        <f>AI59+AI66</f>
        <v>-34646.84</v>
      </c>
      <c r="AJ67" s="42">
        <f>AJ59+AJ66</f>
        <v>-47653.42</v>
      </c>
      <c r="AK67" s="42">
        <f>AK59+AK66</f>
        <v>-64126.42</v>
      </c>
      <c r="AL67" s="42">
        <f>AL59+AL66</f>
        <v>-5427.800000000001</v>
      </c>
      <c r="AM67" s="42">
        <f>AM59+AM66</f>
        <v>-16144.170000000002</v>
      </c>
      <c r="AN67" s="42">
        <f>AN59+AN66</f>
        <v>2721.870000000001</v>
      </c>
      <c r="AO67" s="42">
        <f>AO59+AO66</f>
        <v>-10174.340000000004</v>
      </c>
      <c r="AP67" s="42">
        <f>AP59+AP66</f>
        <v>3148.329999999998</v>
      </c>
      <c r="AQ67" s="42">
        <f>AQ59+AQ66</f>
        <v>4427.350000000002</v>
      </c>
      <c r="AR67" s="42">
        <f>AR59+AR66</f>
        <v>-4147.420000000001</v>
      </c>
      <c r="AS67" s="42">
        <f>AS59+AS66</f>
        <v>-1282.1599999999999</v>
      </c>
      <c r="AT67" s="42">
        <f>AT59+AT66</f>
        <v>-5820.739999999999</v>
      </c>
      <c r="AU67" s="42">
        <f>AU59+AU66</f>
        <v>-2374.9300000000003</v>
      </c>
      <c r="AV67" s="42">
        <f>AV59+AV66</f>
        <v>-13299.080000000002</v>
      </c>
      <c r="AW67" s="42">
        <f>AW59+AW66</f>
        <v>-32953.43</v>
      </c>
      <c r="AX67" s="42">
        <f>AX59+AX66</f>
        <v>-2664.290000000001</v>
      </c>
      <c r="AY67" s="42">
        <f>AY59+AY66</f>
        <v>13960.93</v>
      </c>
      <c r="AZ67" s="42">
        <f>AZ59+AZ66</f>
        <v>-18933.190000000002</v>
      </c>
      <c r="BA67" s="42">
        <f>BA59+BA66</f>
        <v>1672.9799999999996</v>
      </c>
      <c r="BB67" s="42">
        <f>BB59+BB66</f>
        <v>8923.039999999997</v>
      </c>
      <c r="BC67" s="42">
        <f>BC59+BC66</f>
        <v>-19218.590000000004</v>
      </c>
      <c r="BD67" s="42">
        <f>BD59+BD66</f>
        <v>2353.749999999998</v>
      </c>
      <c r="BE67" s="42">
        <f>BE59+BE66</f>
        <v>2358.8499999999985</v>
      </c>
      <c r="BF67" s="42">
        <f>BF59+BF66</f>
        <v>-5612.259999999999</v>
      </c>
      <c r="BG67" s="42">
        <f>BG59+BG66</f>
        <v>-7892.769999999997</v>
      </c>
      <c r="BH67" s="42">
        <f>BH59+BH66</f>
        <v>-1665.4099999999999</v>
      </c>
      <c r="BI67" s="42">
        <f>BI59+BI66</f>
        <v>-1007.1800000000003</v>
      </c>
      <c r="BJ67" s="42">
        <f>BJ59+BJ66</f>
        <v>-438.21000000000276</v>
      </c>
      <c r="BK67" s="42">
        <f>BK59+BK66</f>
        <v>-19094.73</v>
      </c>
      <c r="BL67" s="42">
        <f>BL59+BL66</f>
        <v>-7407.689999999999</v>
      </c>
      <c r="BM67" s="42">
        <f>BM59+BM66</f>
        <v>12954.269999999997</v>
      </c>
      <c r="BN67" s="42">
        <f>BN59+BN66</f>
        <v>-21576.66</v>
      </c>
      <c r="BO67" s="42">
        <f>BO59+BO66</f>
        <v>6643.769999999997</v>
      </c>
      <c r="BP67" s="42">
        <f>BP59+BP66</f>
        <v>-2115.6800000000003</v>
      </c>
      <c r="BQ67" s="42">
        <f>BQ59+BQ66</f>
        <v>-6352.900000000001</v>
      </c>
      <c r="BR67" s="42">
        <f>BR59+BR66</f>
        <v>-583.6299999999999</v>
      </c>
      <c r="BS67" s="40">
        <f>B67+C67+D67+E67+F67+G67+H67+I67+J67+K67+L67+M67+N67+O67+P67+Q67+R67+S67+T67+U67+V67+W67+X67+Y67+Z67+AA67+AB67+AC67+AD67+AE67+AF67+AG67+AH67+AI67+AJ67+AK67+AL67+AM67+AN67+AO67+AP67+AQ67+AR67+AS67+AT67+AU67+AV67+AW67+AX67+AY67+AZ67+BA67+BB67+BC67+BD67+BE67+BF67+BG67+BH67+BI67+BJ67+BK67+BL67+BM67+BN67+BO67+BP67+BQ67+BR67</f>
        <v>-859357.5800000001</v>
      </c>
    </row>
    <row r="71" spans="1:1" ht="16">
      <c r="A71" s="44" t="s">
        <v>136</v>
      </c>
    </row>
  </sheetData>
  <mergeCells count="4">
    <mergeCell ref="A1:BS1"/>
    <mergeCell ref="A2:BS2"/>
    <mergeCell ref="A3:BS3"/>
    <mergeCell ref="A71:BS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