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etup" sheetId="1" r:id="rId4"/>
    <sheet state="visible" name="Income" sheetId="2" r:id="rId5"/>
    <sheet state="visible" name="Expenses" sheetId="3" r:id="rId6"/>
    <sheet state="visible" name="Summary" sheetId="4" r:id="rId7"/>
  </sheets>
  <definedNames>
    <definedName name="Balance">Setup!$C$11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6">
      <text>
        <t xml:space="preserve">Estimated based on April 1/2 month sales</t>
      </text>
    </comment>
    <comment authorId="0" ref="J6">
      <text>
        <t xml:space="preserve">Estimated based on April 1/2 month sales</t>
      </text>
    </comment>
    <comment authorId="0" ref="K6">
      <text>
        <t xml:space="preserve">Estimated based on April 1/2 month sales</t>
      </text>
    </comment>
    <comment authorId="0" ref="L6">
      <text>
        <t xml:space="preserve">Estimated based on April 1/2 month sales</t>
      </text>
    </comment>
    <comment authorId="0" ref="M6">
      <text>
        <t xml:space="preserve">Estimated based on April 1/2 month sales</t>
      </text>
    </comment>
    <comment authorId="0" ref="N6">
      <text>
        <t xml:space="preserve">Estimated based on April 1/2 month sales</t>
      </text>
    </comment>
    <comment authorId="0" ref="O6">
      <text>
        <t xml:space="preserve">Estimated based on April 1/2 month sales</t>
      </text>
    </comment>
    <comment authorId="0" ref="P6">
      <text>
        <t xml:space="preserve">Estimated based on April 1/2 month sales</t>
      </text>
    </comment>
    <comment authorId="0" ref="Q6">
      <text>
        <t xml:space="preserve">Estimated based on April 1/2 month sales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Labels
Packaging
Distillate
Rosin</t>
      </text>
    </comment>
    <comment authorId="0" ref="E11">
      <text>
        <t xml:space="preserve">Accounting
Legal
Quickbook Subscription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0">
      <text>
        <t xml:space="preserve">Total of Income - Expenses</t>
      </text>
    </comment>
    <comment authorId="0" ref="B30">
      <text>
        <t xml:space="preserve">This formula matches the categories in column D with their locations in the 'Expenses' tab, then displays the resulting row number. The formula in column E uses it to calculate the values in columns E:R. </t>
      </text>
    </comment>
    <comment authorId="0" ref="B25">
      <text>
        <t xml:space="preserve">This formula matches the categories in column D with their locations in the 'Income' tab, then displays the resulting row number. The formula in column E uses it to calculate the values in columns E:R. </t>
      </text>
    </comment>
    <comment authorId="0" ref="D21">
      <text>
        <t xml:space="preserve">This total includes the 'Starting Balance' from the 'Setup' tab.</t>
      </text>
    </comment>
  </commentList>
</comments>
</file>

<file path=xl/sharedStrings.xml><?xml version="1.0" encoding="utf-8"?>
<sst xmlns="http://schemas.openxmlformats.org/spreadsheetml/2006/main" count="149" uniqueCount="87">
  <si>
    <t>Annual budget tracker</t>
  </si>
  <si>
    <t>Income</t>
  </si>
  <si>
    <t>Expenses</t>
  </si>
  <si>
    <t>Total</t>
  </si>
  <si>
    <t>Average</t>
  </si>
  <si>
    <t xml:space="preserve">Plan and track your business income and expenses for the entire year. 
</t>
  </si>
  <si>
    <t>How to use this template</t>
  </si>
  <si>
    <t>Sales</t>
  </si>
  <si>
    <t>Manufacturing Cost</t>
  </si>
  <si>
    <t>1.</t>
  </si>
  <si>
    <t>Monthly totals:</t>
  </si>
  <si>
    <t>Get started by entering your starting balance below.</t>
  </si>
  <si>
    <t>2.</t>
  </si>
  <si>
    <t xml:space="preserve">Then, fill out the 'Expenses' and 'Income' tabs. </t>
  </si>
  <si>
    <t>3.</t>
  </si>
  <si>
    <t>Feel free to rename or delete categories in these tabs. Your changes will automatically be reflected on the 'Summary' tab, which shows an overview of your projected/actual spending.</t>
  </si>
  <si>
    <t>Configure</t>
  </si>
  <si>
    <t>Starting balance:</t>
  </si>
  <si>
    <t xml:space="preserve">Smoakland </t>
  </si>
  <si>
    <t>TPO Royalties</t>
  </si>
  <si>
    <t>Ohio Royalties</t>
  </si>
  <si>
    <t>Hawaii Royalties</t>
  </si>
  <si>
    <t>CA - AA Gummies Distillate</t>
  </si>
  <si>
    <t>MyGreen Network</t>
  </si>
  <si>
    <t>CA - AA Gummies Rosin</t>
  </si>
  <si>
    <t>Raw Material</t>
  </si>
  <si>
    <t>Sales &amp; Distribution Cost</t>
  </si>
  <si>
    <t>Other</t>
  </si>
  <si>
    <t>Cash Injection</t>
  </si>
  <si>
    <t>Luis Commissions &amp; Fees</t>
  </si>
  <si>
    <t>Other Portfolio Income</t>
  </si>
  <si>
    <t>Other Ordinary Income</t>
  </si>
  <si>
    <t>Refunds</t>
  </si>
  <si>
    <t>Distro Nabis Expense</t>
  </si>
  <si>
    <t>Professional Service Fee</t>
  </si>
  <si>
    <t>Marketting Assets</t>
  </si>
  <si>
    <t>Miscellaneous</t>
  </si>
  <si>
    <t>Office/General Administrative</t>
  </si>
  <si>
    <t>Office Expenses</t>
  </si>
  <si>
    <t>Rent or Lease</t>
  </si>
  <si>
    <t>Supplies</t>
  </si>
  <si>
    <t>Stationary &amp; Printing</t>
  </si>
  <si>
    <t>Repair &amp; Maintenance</t>
  </si>
  <si>
    <t>Other General &amp; Admin Expenses</t>
  </si>
  <si>
    <t>Utilities</t>
  </si>
  <si>
    <t>Shipping, Freight &amp; Delivery</t>
  </si>
  <si>
    <t>Cost of Goods/Cost of Services</t>
  </si>
  <si>
    <t>Cost of Labor</t>
  </si>
  <si>
    <t>Freight &amp; Delivery - COS</t>
  </si>
  <si>
    <t>Supplies &amp; Materials - COGS</t>
  </si>
  <si>
    <t>Other Costs - COS</t>
  </si>
  <si>
    <t>Purchases - COS</t>
  </si>
  <si>
    <t>Job Materials</t>
  </si>
  <si>
    <t>Travel</t>
  </si>
  <si>
    <t>Airfare</t>
  </si>
  <si>
    <t>Hotels</t>
  </si>
  <si>
    <t>Travel Meals</t>
  </si>
  <si>
    <t>Transportation</t>
  </si>
  <si>
    <t>Entertainment</t>
  </si>
  <si>
    <t>Legal</t>
  </si>
  <si>
    <t>Legal &amp; Professional Fees</t>
  </si>
  <si>
    <t>Insurance</t>
  </si>
  <si>
    <t>Insurance - Disability</t>
  </si>
  <si>
    <t>Insurance - Liability</t>
  </si>
  <si>
    <t>Insurance - Errors &amp; Omissions</t>
  </si>
  <si>
    <t>Other Expenses</t>
  </si>
  <si>
    <t>Penalties &amp; Settlements</t>
  </si>
  <si>
    <t>Bad Debts</t>
  </si>
  <si>
    <t>Interest Expense</t>
  </si>
  <si>
    <t>Taxes</t>
  </si>
  <si>
    <t>Taxes &amp; Licenses</t>
  </si>
  <si>
    <t>Summary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</si>
  <si>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</si>
  <si>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</si>
  <si>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</si>
  <si>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</si>
  <si>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</si>
  <si>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</si>
  <si>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</si>
  <si>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</si>
  <si>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</si>
  <si>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</si>
  <si>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</si>
  <si>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</si>
  <si>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Net savings</t>
  </si>
  <si>
    <t>Ending balance</t>
  </si>
  <si>
    <t>Row #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</si>
</sst>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"/>
    <numFmt numFmtId="165" formatCode="&quot;$&quot;#,##0"/>
    <numFmt numFmtId="166" formatCode="mmm&quot; '&quot;yy"/>
  </numFmts>
  <fonts count="64">
    <font>
      <sz val="10.0"/>
      <color rgb="FF000000"/>
      <name val="Arial"/>
    </font>
    <font>
      <b/>
      <i/>
      <sz val="11.0"/>
      <color rgb="FFFFFFFF"/>
      <name val="Arial"/>
    </font>
    <font>
      <b/>
      <sz val="18.0"/>
      <color rgb="FFFFFFFF"/>
      <name val="Arial"/>
    </font>
    <font>
      <b/>
      <sz val="12.0"/>
      <color rgb="FF000000"/>
      <name val="Arial"/>
    </font>
    <font>
      <sz val="18.0"/>
      <color rgb="FFFFFFFF"/>
      <name val="Arial"/>
    </font>
    <font>
      <b/>
      <sz val="17.0"/>
      <color rgb="FFFFFFFF"/>
      <name val="Arial"/>
    </font>
    <font>
      <sz val="12.0"/>
      <color rgb="FFFFFFFF"/>
      <name val="Arial"/>
    </font>
    <font/>
    <font>
      <b/>
      <i/>
      <sz val="11.0"/>
      <color rgb="FF000000"/>
      <name val="Arial"/>
    </font>
    <font>
      <sz val="11.0"/>
      <color rgb="FFFFFFFF"/>
      <name val="Arial"/>
    </font>
    <font>
      <b/>
      <color rgb="FF6B6C72"/>
      <name val="Arial"/>
    </font>
    <font>
      <color rgb="FF6B6C72"/>
      <name val="Arial"/>
    </font>
    <font>
      <color rgb="FF576475"/>
      <name val="Arial"/>
    </font>
    <font>
      <b/>
      <color rgb="FFFFFFFF"/>
      <name val="Arial"/>
    </font>
    <font>
      <i/>
      <sz val="11.0"/>
      <color rgb="FFFFFFFF"/>
      <name val="Arial"/>
    </font>
    <font>
      <i/>
      <color rgb="FFFFFFFF"/>
      <name val="Arial"/>
    </font>
    <font>
      <b/>
      <i/>
      <sz val="9.0"/>
      <color rgb="FFFFFFFF"/>
      <name val="Arial"/>
    </font>
    <font>
      <color rgb="FFFFFFFF"/>
      <name val="Arial"/>
    </font>
    <font>
      <b/>
      <sz val="12.0"/>
      <color rgb="FF6B6C72"/>
      <name val="Arial"/>
    </font>
    <font>
      <b/>
      <i/>
      <sz val="11.0"/>
      <color rgb="FF6B6C72"/>
      <name val="Arial"/>
    </font>
    <font>
      <b/>
      <sz val="12.0"/>
      <color rgb="FF666666"/>
      <name val="Arial"/>
    </font>
    <font>
      <sz val="12.0"/>
      <color rgb="FF6B6C72"/>
      <name val="Arial"/>
    </font>
    <font>
      <b/>
      <sz val="10.0"/>
      <color rgb="FF556376"/>
    </font>
    <font>
      <b/>
      <i/>
      <sz val="10.0"/>
      <color rgb="FF6B6C72"/>
      <name val="Arial"/>
    </font>
    <font>
      <sz val="10.0"/>
      <color rgb="FF556376"/>
    </font>
    <font>
      <b/>
      <color rgb="FF556376"/>
      <name val="Arial"/>
    </font>
    <font>
      <b/>
      <color rgb="FF576475"/>
      <name val="Arial"/>
    </font>
    <font>
      <b/>
      <sz val="12.0"/>
      <color rgb="FF666666"/>
    </font>
    <font>
      <sz val="10.0"/>
    </font>
    <font>
      <sz val="18.0"/>
      <color rgb="FF556376"/>
    </font>
    <font>
      <sz val="11.0"/>
      <color rgb="FF000000"/>
      <name val="Arial"/>
    </font>
    <font>
      <sz val="16.0"/>
      <color rgb="FF000000"/>
      <name val="Arial"/>
    </font>
    <font>
      <sz val="9.0"/>
      <color rgb="FF000000"/>
      <name val="Arial"/>
    </font>
    <font>
      <b/>
      <i/>
      <sz val="11.0"/>
      <color rgb="FF334960"/>
      <name val="Arial"/>
    </font>
    <font>
      <sz val="10.0"/>
      <color rgb="FF334960"/>
      <name val="Arial"/>
    </font>
    <font>
      <sz val="9.0"/>
      <color rgb="FF576475"/>
      <name val="Arial"/>
    </font>
    <font>
      <i/>
      <sz val="9.0"/>
      <color rgb="FF6C7687"/>
      <name val="Arial"/>
    </font>
    <font>
      <i/>
      <sz val="9.0"/>
      <color rgb="FF334960"/>
      <name val="Arial"/>
    </font>
    <font>
      <sz val="9.0"/>
      <color rgb="FF576475"/>
    </font>
    <font>
      <i/>
      <sz val="9.0"/>
      <color rgb="FFA7B0BF"/>
      <name val="Arial"/>
    </font>
    <font>
      <b/>
      <i/>
      <sz val="11.0"/>
      <color rgb="FF556376"/>
      <name val="Arial"/>
    </font>
    <font>
      <sz val="9.0"/>
      <color rgb="FFD9D9D9"/>
      <name val="Arial"/>
    </font>
    <font>
      <name val="Arial"/>
    </font>
    <font>
      <sz val="6.0"/>
      <color rgb="FFB7B7B7"/>
      <name val="Arial"/>
    </font>
    <font>
      <i/>
      <name val="Arial"/>
    </font>
    <font>
      <sz val="6.0"/>
      <color rgb="FFFFFFFF"/>
      <name val="Arial"/>
    </font>
    <font>
      <sz val="6.0"/>
      <color rgb="FF6C7687"/>
      <name val="Arial"/>
    </font>
    <font>
      <b/>
      <sz val="18.0"/>
      <color rgb="FF6C7687"/>
      <name val="Arial"/>
    </font>
    <font>
      <sz val="18.0"/>
      <color rgb="FF6C7687"/>
      <name val="Arial"/>
    </font>
    <font>
      <color rgb="FF6C7687"/>
      <name val="Arial"/>
    </font>
    <font>
      <i/>
      <color rgb="FF6C7687"/>
      <name val="Arial"/>
    </font>
    <font>
      <b/>
      <sz val="6.0"/>
      <color rgb="FFFFFFFF"/>
      <name val="Arial"/>
    </font>
    <font>
      <b/>
      <i/>
      <sz val="6.0"/>
      <color rgb="FFB7B7B7"/>
      <name val="Arial"/>
    </font>
    <font>
      <b/>
      <sz val="10.0"/>
      <color rgb="FFFFFFFF"/>
      <name val="Arial"/>
    </font>
    <font>
      <b/>
      <sz val="11.0"/>
      <color rgb="FF334960"/>
      <name val="Arial"/>
    </font>
    <font>
      <b/>
      <color rgb="FF334960"/>
      <name val="Arial"/>
    </font>
    <font>
      <i/>
      <sz val="10.0"/>
      <color rgb="FF6C7687"/>
      <name val="Arial"/>
    </font>
    <font>
      <color rgb="FF334960"/>
      <name val="Arial"/>
    </font>
    <font>
      <b/>
      <color rgb="FF222222"/>
      <name val="Arial"/>
    </font>
    <font>
      <color rgb="FF222222"/>
      <name val="Arial"/>
    </font>
    <font>
      <sz val="11.0"/>
      <color rgb="FF6C7687"/>
      <name val="Arial"/>
    </font>
    <font>
      <sz val="6.0"/>
      <color rgb="FFB7B7B7"/>
    </font>
    <font>
      <b/>
      <sz val="10.0"/>
      <color rgb="FF334960"/>
      <name val="Arial"/>
    </font>
    <font>
      <sz val="10.0"/>
      <color rgb="FF576475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08000"/>
        <bgColor rgb="FF108000"/>
      </patternFill>
    </fill>
    <fill>
      <patternFill patternType="solid">
        <fgColor rgb="FFFFFFFF"/>
        <bgColor rgb="FFFFFFFF"/>
      </patternFill>
    </fill>
    <fill>
      <patternFill patternType="solid">
        <fgColor rgb="FFECEEF1"/>
        <bgColor rgb="FFECEEF1"/>
      </patternFill>
    </fill>
    <fill>
      <patternFill patternType="solid">
        <fgColor rgb="FFF9F9F9"/>
        <bgColor rgb="FFF9F9F9"/>
      </patternFill>
    </fill>
  </fills>
  <borders count="69">
    <border/>
    <border>
      <left style="thin">
        <color rgb="FF108000"/>
      </left>
      <right style="thin">
        <color rgb="FF108000"/>
      </right>
      <top style="thin">
        <color rgb="FF108000"/>
      </top>
      <bottom style="thin">
        <color rgb="FF108000"/>
      </bottom>
    </border>
    <border>
      <top style="thin">
        <color rgb="FFF9F9F9"/>
      </top>
    </border>
    <border>
      <left style="thin">
        <color rgb="FFECEEF1"/>
      </left>
      <right style="thin">
        <color rgb="FFECEEF1"/>
      </right>
      <bottom style="thin">
        <color rgb="FFECEEF1"/>
      </bottom>
    </border>
    <border>
      <left style="thin">
        <color rgb="FFECEEF1"/>
      </left>
      <right style="thin">
        <color rgb="FFD9D9D9"/>
      </right>
      <bottom style="thin">
        <color rgb="FFECEEF1"/>
      </bottom>
    </border>
    <border>
      <right style="thin">
        <color rgb="FFF9F9F9"/>
      </right>
      <bottom style="dotted">
        <color rgb="FFCCCCCC"/>
      </bottom>
    </border>
    <border>
      <left style="thin">
        <color rgb="FFF9F9F9"/>
      </left>
      <right style="thin">
        <color rgb="FFF9F9F9"/>
      </right>
      <bottom style="dotted">
        <color rgb="FFCCCCCC"/>
      </bottom>
    </border>
    <border>
      <bottom style="dotted">
        <color rgb="FFD9D9D9"/>
      </bottom>
    </border>
    <border>
      <left style="thin">
        <color rgb="FFF9F9F9"/>
      </left>
      <right style="thin">
        <color rgb="FFFFFFFF"/>
      </right>
      <bottom style="dotted">
        <color rgb="FFCCCCCC"/>
      </bottom>
    </border>
    <border>
      <left style="thin">
        <color rgb="FFECEEF1"/>
      </left>
      <right style="thin">
        <color rgb="FFECEEF1"/>
      </right>
      <top style="thin">
        <color rgb="FFECEEF1"/>
      </top>
      <bottom style="thin">
        <color rgb="FFECEEF1"/>
      </bottom>
    </border>
    <border>
      <left style="thin">
        <color rgb="FFECEEF1"/>
      </left>
      <right style="thin">
        <color rgb="FFD9D9D9"/>
      </right>
      <top style="thin">
        <color rgb="FFECEEF1"/>
      </top>
      <bottom style="thin">
        <color rgb="FFECEEF1"/>
      </bottom>
    </border>
    <border>
      <top style="dotted">
        <color rgb="FFCCCCCC"/>
      </top>
      <bottom style="hair">
        <color rgb="FFFFFFFF"/>
      </bottom>
    </border>
    <border>
      <right style="thin">
        <color rgb="FFFFFFFF"/>
      </right>
      <top style="dotted">
        <color rgb="FFCCCCCC"/>
      </top>
      <bottom style="hair">
        <color rgb="FFFFFFFF"/>
      </bottom>
    </border>
    <border>
      <left style="thin">
        <color rgb="FFFFFFFF"/>
      </left>
      <right style="thin">
        <color rgb="FFFFFFFF"/>
      </right>
      <top style="dotted">
        <color rgb="FFCCCCCC"/>
      </top>
      <bottom style="thin">
        <color rgb="FFD9D9D9"/>
      </bottom>
    </border>
    <border>
      <right style="dotted">
        <color rgb="FFFFFFFF"/>
      </right>
      <top style="dotted">
        <color rgb="FFCCCCCC"/>
      </top>
      <bottom style="thin">
        <color rgb="FFD9D9D9"/>
      </bottom>
    </border>
    <border>
      <left style="dotted">
        <color rgb="FFFFFFFF"/>
      </left>
      <right style="dotted">
        <color rgb="FFFFFFFF"/>
      </right>
      <top style="dotted">
        <color rgb="FFCCCCCC"/>
      </top>
      <bottom style="thin">
        <color rgb="FFD9D9D9"/>
      </bottom>
    </border>
    <border>
      <left style="dotted">
        <color rgb="FFFFFFFF"/>
      </left>
      <right style="thin">
        <color rgb="FFFFFFFF"/>
      </right>
      <top style="dotted">
        <color rgb="FFCCCCCC"/>
      </top>
      <bottom style="thin">
        <color rgb="FFFFFFFF"/>
      </bottom>
    </border>
    <border>
      <right style="thin">
        <color rgb="FFFFFFFF"/>
      </right>
      <top style="hair">
        <color rgb="FFFFFFFF"/>
      </top>
      <bottom style="hair">
        <color rgb="FFFFFFFF"/>
      </bottom>
    </border>
    <border>
      <right style="dotted">
        <color rgb="FFFFFFFF"/>
      </right>
      <top style="thin">
        <color rgb="FFD9D9D9"/>
      </top>
      <bottom style="thin">
        <color rgb="FFD9D9D9"/>
      </bottom>
    </border>
    <border>
      <left style="dotted">
        <color rgb="FFFFFFFF"/>
      </left>
      <right style="dotted">
        <color rgb="FFFFFFFF"/>
      </right>
      <top style="thin">
        <color rgb="FFD9D9D9"/>
      </top>
      <bottom style="thin">
        <color rgb="FFD9D9D9"/>
      </bottom>
    </border>
    <border>
      <left style="dotted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dotted">
        <color rgb="FFCCCCCC"/>
      </top>
      <bottom style="thin">
        <color rgb="FFFFFFFF"/>
      </bottom>
    </border>
    <border>
      <bottom style="hair">
        <color rgb="FFFFFFFF"/>
      </bottom>
    </border>
    <border>
      <left style="thin">
        <color rgb="FFFFFFFF"/>
      </left>
      <right style="thin">
        <color rgb="FFFFFFFF"/>
      </right>
      <top style="thin">
        <color rgb="FFD9D9D9"/>
      </top>
      <bottom style="thin">
        <color rgb="FFD9D9D9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hair">
        <color rgb="FFFFFFFF"/>
      </top>
      <bottom style="hair">
        <color rgb="FFFFFFFF"/>
      </bottom>
    </border>
    <border>
      <top style="hair">
        <color rgb="FFFFFFFF"/>
      </top>
      <bottom style="dotted">
        <color rgb="FFFFFFFF"/>
      </bottom>
    </border>
    <border>
      <left style="thin">
        <color rgb="FFFFFFFF"/>
      </left>
      <right style="thin">
        <color rgb="FFFFFFFF"/>
      </right>
      <top style="thin">
        <color rgb="FFD9D9D9"/>
      </top>
    </border>
    <border>
      <right style="thin">
        <color rgb="FFFFFFFF"/>
      </right>
      <top style="hair">
        <color rgb="FFFFFFFF"/>
      </top>
      <bottom style="dotted">
        <color rgb="FFFFFFFF"/>
      </bottom>
    </border>
    <border>
      <right style="dotted">
        <color rgb="FFFFFFFF"/>
      </right>
    </border>
    <border>
      <left style="dotted">
        <color rgb="FFFFFFFF"/>
      </left>
      <right style="dotted">
        <color rgb="FFFFFFFF"/>
      </right>
    </border>
    <border>
      <right style="thin">
        <color rgb="FFFFFFFF"/>
      </right>
      <top style="thin">
        <color rgb="FFFFFFFF"/>
      </top>
      <bottom style="dotted">
        <color rgb="FFFFFFFF"/>
      </bottom>
    </border>
    <border>
      <top style="dotted">
        <color rgb="FFFFFFFF"/>
      </top>
    </border>
    <border>
      <left style="dotted">
        <color rgb="FFFFFFFF"/>
      </left>
      <right style="thin">
        <color rgb="FFFFFFFF"/>
      </right>
      <top style="thin">
        <color rgb="FFFFFFFF"/>
      </top>
      <bottom style="dotted">
        <color rgb="FFFFFFFF"/>
      </bottom>
    </border>
    <border>
      <right style="thin">
        <color rgb="FFFFFFFF"/>
      </right>
      <top style="dotted">
        <color rgb="FFFFFFFF"/>
      </top>
      <bottom style="dotted">
        <color rgb="FFD9D9D9"/>
      </bottom>
    </border>
    <border>
      <left style="thin">
        <color rgb="FFFFFFFF"/>
      </left>
      <right style="thin">
        <color rgb="FFFFFFFF"/>
      </right>
      <bottom style="dotted">
        <color rgb="FFD9D9D9"/>
      </bottom>
    </border>
    <border>
      <right style="thin">
        <color rgb="FFFFFFFF"/>
      </right>
      <top style="dotted">
        <color rgb="FFFFFFFF"/>
      </top>
    </border>
    <border>
      <right style="thin">
        <color rgb="FFF9F9F9"/>
      </right>
      <top style="dotted">
        <color rgb="FFD9D9D9"/>
      </top>
      <bottom style="dotted">
        <color rgb="FFCCCCCC"/>
      </bottom>
    </border>
    <border>
      <left style="thin">
        <color rgb="FFF9F9F9"/>
      </left>
      <right style="thin">
        <color rgb="FFF9F9F9"/>
      </right>
      <top style="dotted">
        <color rgb="FFD9D9D9"/>
      </top>
      <bottom style="dotted">
        <color rgb="FFCCCCCC"/>
      </bottom>
    </border>
    <border>
      <left style="thin">
        <color rgb="FFFFFFFF"/>
      </left>
      <right style="thin">
        <color rgb="FFFFFFFF"/>
      </right>
      <top style="dotted">
        <color rgb="FFFFFFFF"/>
      </top>
      <bottom style="dotted">
        <color rgb="FFD9D9D9"/>
      </bottom>
    </border>
    <border>
      <left style="thin">
        <color rgb="FFF9F9F9"/>
      </left>
      <right style="thin">
        <color rgb="FFFFFFFF"/>
      </right>
      <top style="dotted">
        <color rgb="FFD9D9D9"/>
      </top>
      <bottom style="dotted">
        <color rgb="FFCCCCCC"/>
      </bottom>
    </border>
    <border>
      <right style="thin">
        <color rgb="FFFFFFFF"/>
      </right>
      <top style="hair">
        <color rgb="FFFFFFFF"/>
      </top>
      <bottom style="thin">
        <color rgb="FFFFFFFF"/>
      </bottom>
    </border>
    <border>
      <right style="thin">
        <color rgb="FFFFFFFF"/>
      </right>
      <top style="thin">
        <color rgb="FFD9D9D9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D9D9D9"/>
      </top>
      <bottom style="thin">
        <color rgb="FFFFFFFF"/>
      </bottom>
    </border>
    <border>
      <left style="thin">
        <color rgb="FFFFFFFF"/>
      </left>
      <top style="thin">
        <color rgb="FFD9D9D9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dotted">
        <color rgb="FFFFFFFF"/>
      </bottom>
    </border>
    <border>
      <left style="thin">
        <color rgb="FFF9F9F9"/>
      </left>
      <right style="dotted">
        <color rgb="FFFFFFFF"/>
      </right>
      <top style="dotted">
        <color rgb="FFD9D9D9"/>
      </top>
      <bottom style="dotted">
        <color rgb="FFCCCCCC"/>
      </bottom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  <top style="thin">
        <color rgb="FFFFFFFF"/>
      </top>
    </border>
    <border>
      <bottom style="dotted">
        <color rgb="FFCCCCCC"/>
      </bottom>
    </border>
    <border>
      <left style="thin">
        <color rgb="FFFFFFFF"/>
      </left>
      <right style="thin">
        <color rgb="FFFFFFFF"/>
      </right>
      <top style="thin">
        <color rgb="FFD9D9D9"/>
      </top>
      <bottom style="dotted">
        <color rgb="FFCCCCCC"/>
      </bottom>
    </border>
    <border>
      <right style="thin">
        <color rgb="FFFFFFFF"/>
      </right>
      <top style="thin">
        <color rgb="FFFFFFFF"/>
      </top>
      <bottom style="dotted">
        <color rgb="FFCCCCCC"/>
      </bottom>
    </border>
    <border>
      <right style="thin">
        <color rgb="FFF9F9F9"/>
      </right>
      <top style="dotted">
        <color rgb="FFCCCCCC"/>
      </top>
      <bottom style="dotted">
        <color rgb="FFCCCCCC"/>
      </bottom>
    </border>
    <border>
      <left style="thin">
        <color rgb="FFF9F9F9"/>
      </left>
      <right style="thin">
        <color rgb="FFF9F9F9"/>
      </right>
      <top style="dotted">
        <color rgb="FFCCCCCC"/>
      </top>
      <bottom style="dotted">
        <color rgb="FFCCCCCC"/>
      </bottom>
    </border>
    <border>
      <left style="thin">
        <color rgb="FFF9F9F9"/>
      </left>
      <right style="dotted">
        <color rgb="FFFFFFFF"/>
      </right>
      <top style="dotted">
        <color rgb="FFCCCCCC"/>
      </top>
      <bottom style="dotted">
        <color rgb="FFCCCCCC"/>
      </bottom>
    </border>
    <border>
      <top style="dotted">
        <color rgb="FFCCCCCC"/>
      </top>
      <bottom style="dotted">
        <color rgb="FFFFFFFF"/>
      </bottom>
    </border>
    <border>
      <right style="thin">
        <color rgb="FFFFFFFF"/>
      </right>
    </border>
    <border>
      <top style="hair">
        <color rgb="FFFFFFFF"/>
      </top>
    </border>
    <border>
      <top style="hair">
        <color rgb="FFFFFFFF"/>
      </top>
      <bottom style="dotted">
        <color rgb="FFCCCCCC"/>
      </bottom>
    </border>
    <border>
      <left style="thin">
        <color rgb="FFF9F9F9"/>
      </left>
      <right style="thin">
        <color rgb="FFF9F9F9"/>
      </right>
      <bottom style="thin">
        <color rgb="FFF9F9F9"/>
      </bottom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left style="thin">
        <color rgb="FFF9F9F9"/>
      </left>
      <right style="thin">
        <color rgb="FFF9F9F9"/>
      </right>
      <top style="thin">
        <color rgb="FFF9F9F9"/>
      </top>
      <bottom style="dotted">
        <color rgb="FFCCCCCC"/>
      </bottom>
    </border>
    <border>
      <left style="thin">
        <color rgb="FFF9F9F9"/>
      </left>
      <right style="thin">
        <color rgb="FFF9F9F9"/>
      </right>
      <top style="dotted">
        <color rgb="FFCCCCCC"/>
      </top>
      <bottom style="thin">
        <color rgb="FFF9F9F9"/>
      </bottom>
    </border>
    <border>
      <left style="thin">
        <color rgb="FFFFFFFF"/>
      </left>
      <right style="thin">
        <color rgb="FFF9F9F9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9F9F9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vertical="center"/>
    </xf>
    <xf borderId="2" fillId="2" fontId="2" numFmtId="49" xfId="0" applyAlignment="1" applyBorder="1" applyFill="1" applyFont="1" applyNumberFormat="1">
      <alignment horizontal="left" vertical="top"/>
    </xf>
    <xf borderId="1" fillId="2" fontId="3" numFmtId="0" xfId="0" applyAlignment="1" applyBorder="1" applyFill="1" applyFont="1">
      <alignment horizontal="right" readingOrder="0" shrinkToFit="0" vertical="center" wrapText="1"/>
    </xf>
    <xf borderId="1" fillId="2" fontId="4" numFmtId="0" xfId="0" applyAlignment="1" applyBorder="1" applyFill="1" applyFont="1">
      <alignment horizontal="left" readingOrder="0" vertical="center"/>
    </xf>
    <xf borderId="2" fillId="2" fontId="5" numFmtId="0" xfId="0" applyAlignment="1" applyBorder="1" applyFill="1" applyFont="1">
      <alignment horizontal="left" readingOrder="0"/>
    </xf>
    <xf borderId="1" fillId="2" fontId="6" numFmtId="0" xfId="0" applyAlignment="1" applyBorder="1" applyFill="1" applyFont="1">
      <alignment horizontal="right" readingOrder="0" shrinkToFit="0" vertical="center" wrapText="1"/>
    </xf>
    <xf borderId="2" fillId="0" fontId="7" numFmtId="0" xfId="0" applyBorder="1" applyFont="1"/>
    <xf borderId="1" fillId="2" fontId="8" numFmtId="0" xfId="0" applyAlignment="1" applyBorder="1" applyFill="1" applyFont="1">
      <alignment horizontal="right" readingOrder="0" vertical="center"/>
    </xf>
    <xf borderId="1" fillId="2" fontId="9" numFmtId="164" xfId="0" applyAlignment="1" applyBorder="1" applyFill="1" applyFont="1" applyNumberFormat="1">
      <alignment horizontal="right" readingOrder="0" vertical="center"/>
    </xf>
    <xf borderId="2" fillId="2" fontId="5" numFmtId="0" xfId="0" applyAlignment="1" applyBorder="1" applyFill="1" applyFont="1">
      <alignment horizontal="center" readingOrder="0"/>
    </xf>
    <xf borderId="2" fillId="2" fontId="4" numFmtId="0" xfId="0" applyAlignment="1" applyBorder="1" applyFill="1" applyFont="1">
      <alignment horizontal="left"/>
    </xf>
    <xf borderId="0" fillId="2" fontId="10" numFmtId="49" xfId="0" applyAlignment="1" applyFill="1" applyFont="1" applyNumberFormat="1">
      <alignment horizontal="left" vertical="top"/>
    </xf>
    <xf borderId="0" fillId="2" fontId="11" numFmtId="0" xfId="0" applyAlignment="1" applyFill="1" applyFont="1">
      <alignment horizontal="left"/>
    </xf>
    <xf borderId="0" fillId="2" fontId="11" numFmtId="0" xfId="0" applyAlignment="1" applyFill="1" applyFont="1">
      <alignment horizontal="center"/>
    </xf>
    <xf borderId="0" fillId="2" fontId="12" numFmtId="0" xfId="0" applyAlignment="1" applyFill="1" applyFont="1">
      <alignment horizontal="left"/>
    </xf>
    <xf borderId="1" fillId="2" fontId="9" numFmtId="0" xfId="0" applyAlignment="1" applyBorder="1" applyFill="1" applyFont="1">
      <alignment horizontal="right" readingOrder="0" vertical="center"/>
    </xf>
    <xf borderId="0" fillId="2" fontId="13" numFmtId="49" xfId="0" applyAlignment="1" applyFill="1" applyFont="1" applyNumberFormat="1">
      <alignment readingOrder="0" vertical="top"/>
    </xf>
    <xf borderId="1" fillId="2" fontId="14" numFmtId="0" xfId="0" applyAlignment="1" applyBorder="1" applyFill="1" applyFont="1">
      <alignment horizontal="right" readingOrder="0" vertical="center"/>
    </xf>
    <xf borderId="1" fillId="2" fontId="14" numFmtId="165" xfId="0" applyAlignment="1" applyBorder="1" applyFill="1" applyFont="1" applyNumberFormat="1">
      <alignment horizontal="right" readingOrder="0" vertical="center"/>
    </xf>
    <xf borderId="0" fillId="2" fontId="15" numFmtId="0" xfId="0" applyAlignment="1" applyFill="1" applyFont="1">
      <alignment readingOrder="0" shrinkToFit="0" vertical="top" wrapText="1"/>
    </xf>
    <xf borderId="1" fillId="2" fontId="16" numFmtId="0" xfId="0" applyAlignment="1" applyBorder="1" applyFill="1" applyFont="1">
      <alignment horizontal="right" readingOrder="0" vertical="center"/>
    </xf>
    <xf borderId="0" fillId="2" fontId="17" numFmtId="0" xfId="0" applyAlignment="1" applyFill="1" applyFont="1">
      <alignment vertical="top"/>
    </xf>
    <xf borderId="0" fillId="3" fontId="18" numFmtId="49" xfId="0" applyAlignment="1" applyFill="1" applyFont="1" applyNumberFormat="1">
      <alignment horizontal="left" readingOrder="0" vertical="center"/>
    </xf>
    <xf borderId="3" fillId="4" fontId="19" numFmtId="0" xfId="0" applyAlignment="1" applyBorder="1" applyFill="1" applyFont="1">
      <alignment horizontal="right" readingOrder="0" vertical="center"/>
    </xf>
    <xf borderId="0" fillId="3" fontId="20" numFmtId="0" xfId="0" applyAlignment="1" applyFill="1" applyFont="1">
      <alignment horizontal="left" readingOrder="0" vertical="center"/>
    </xf>
    <xf borderId="3" fillId="4" fontId="18" numFmtId="0" xfId="0" applyAlignment="1" applyBorder="1" applyFill="1" applyFont="1">
      <alignment horizontal="right" readingOrder="0" shrinkToFit="0" vertical="center" wrapText="1"/>
    </xf>
    <xf borderId="3" fillId="4" fontId="21" numFmtId="0" xfId="0" applyAlignment="1" applyBorder="1" applyFill="1" applyFont="1">
      <alignment horizontal="right" readingOrder="0" shrinkToFit="0" vertical="center" wrapText="1"/>
    </xf>
    <xf borderId="0" fillId="3" fontId="11" numFmtId="0" xfId="0" applyAlignment="1" applyFill="1" applyFont="1">
      <alignment vertical="center"/>
    </xf>
    <xf borderId="0" fillId="3" fontId="11" numFmtId="0" xfId="0" applyAlignment="1" applyFill="1" applyFont="1">
      <alignment horizontal="center" vertical="center"/>
    </xf>
    <xf borderId="4" fillId="4" fontId="19" numFmtId="0" xfId="0" applyAlignment="1" applyBorder="1" applyFill="1" applyFont="1">
      <alignment horizontal="right" readingOrder="0" vertical="center"/>
    </xf>
    <xf borderId="0" fillId="3" fontId="12" numFmtId="0" xfId="0" applyAlignment="1" applyFill="1" applyFont="1">
      <alignment vertical="center"/>
    </xf>
    <xf borderId="5" fillId="5" fontId="8" numFmtId="0" xfId="0" applyAlignment="1" applyBorder="1" applyFill="1" applyFont="1">
      <alignment horizontal="right" readingOrder="0" vertical="center"/>
    </xf>
    <xf borderId="0" fillId="3" fontId="22" numFmtId="49" xfId="0" applyAlignment="1" applyFill="1" applyFont="1" applyNumberFormat="1">
      <alignment horizontal="right" vertical="top"/>
    </xf>
    <xf borderId="6" fillId="5" fontId="23" numFmtId="0" xfId="0" applyAlignment="1" applyBorder="1" applyFill="1" applyFont="1">
      <alignment horizontal="left" readingOrder="0" vertical="center"/>
    </xf>
    <xf borderId="0" fillId="3" fontId="24" numFmtId="0" xfId="0" applyAlignment="1" applyFill="1" applyFont="1">
      <alignment horizontal="left" readingOrder="0" vertical="top"/>
    </xf>
    <xf borderId="0" fillId="3" fontId="12" numFmtId="0" xfId="0" applyAlignment="1" applyFill="1" applyFont="1">
      <alignment horizontal="left" vertical="center"/>
    </xf>
    <xf borderId="0" fillId="3" fontId="24" numFmtId="0" xfId="0" applyAlignment="1" applyFill="1" applyFont="1">
      <alignment horizontal="left" vertical="top"/>
    </xf>
    <xf borderId="0" fillId="3" fontId="25" numFmtId="49" xfId="0" applyAlignment="1" applyFill="1" applyFont="1" applyNumberFormat="1">
      <alignment horizontal="right" readingOrder="0" vertical="top"/>
    </xf>
    <xf borderId="0" fillId="3" fontId="24" numFmtId="0" xfId="0" applyAlignment="1" applyFill="1" applyFont="1">
      <alignment horizontal="left" readingOrder="0" shrinkToFit="0" vertical="top" wrapText="1"/>
    </xf>
    <xf borderId="7" fillId="3" fontId="10" numFmtId="49" xfId="0" applyAlignment="1" applyBorder="1" applyFill="1" applyFont="1" applyNumberFormat="1">
      <alignment horizontal="left" vertical="top"/>
    </xf>
    <xf borderId="7" fillId="3" fontId="11" numFmtId="0" xfId="0" applyAlignment="1" applyBorder="1" applyFill="1" applyFont="1">
      <alignment horizontal="left"/>
    </xf>
    <xf borderId="7" fillId="3" fontId="11" numFmtId="0" xfId="0" applyAlignment="1" applyBorder="1" applyFill="1" applyFont="1">
      <alignment horizontal="center"/>
    </xf>
    <xf borderId="7" fillId="3" fontId="12" numFmtId="0" xfId="0" applyAlignment="1" applyBorder="1" applyFill="1" applyFont="1">
      <alignment horizontal="left"/>
    </xf>
    <xf borderId="0" fillId="0" fontId="10" numFmtId="49" xfId="0" applyAlignment="1" applyFont="1" applyNumberFormat="1">
      <alignment horizontal="left" vertical="top"/>
    </xf>
    <xf borderId="0" fillId="0" fontId="11" numFmtId="0" xfId="0" applyAlignment="1" applyFont="1">
      <alignment horizontal="left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left"/>
    </xf>
    <xf borderId="0" fillId="0" fontId="26" numFmtId="49" xfId="0" applyAlignment="1" applyFont="1" applyNumberFormat="1">
      <alignment readingOrder="0" vertical="center"/>
    </xf>
    <xf borderId="0" fillId="0" fontId="27" numFmtId="0" xfId="0" applyAlignment="1" applyFont="1">
      <alignment horizontal="left" vertical="center"/>
    </xf>
    <xf borderId="0" fillId="0" fontId="28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22" numFmtId="0" xfId="0" applyAlignment="1" applyFont="1">
      <alignment vertical="center"/>
    </xf>
    <xf borderId="0" fillId="0" fontId="29" numFmtId="165" xfId="0" applyAlignment="1" applyFont="1" applyNumberFormat="1">
      <alignment horizontal="left" readingOrder="0" vertical="center"/>
    </xf>
    <xf borderId="0" fillId="0" fontId="28" numFmtId="165" xfId="0" applyAlignment="1" applyFont="1" applyNumberFormat="1">
      <alignment vertical="center"/>
    </xf>
    <xf borderId="0" fillId="0" fontId="26" numFmtId="49" xfId="0" applyAlignment="1" applyFont="1" applyNumberFormat="1">
      <alignment readingOrder="0" vertical="top"/>
    </xf>
    <xf borderId="0" fillId="0" fontId="12" numFmtId="0" xfId="0" applyAlignment="1" applyFont="1">
      <alignment vertical="center"/>
    </xf>
    <xf borderId="0" fillId="0" fontId="12" numFmtId="0" xfId="0" applyFont="1"/>
    <xf borderId="0" fillId="0" fontId="12" numFmtId="0" xfId="0" applyAlignment="1" applyFont="1">
      <alignment horizontal="center"/>
    </xf>
    <xf borderId="6" fillId="5" fontId="30" numFmtId="165" xfId="0" applyAlignment="1" applyBorder="1" applyFill="1" applyFont="1" applyNumberFormat="1">
      <alignment horizontal="right" readingOrder="0" vertical="center"/>
    </xf>
    <xf borderId="6" fillId="5" fontId="31" numFmtId="165" xfId="0" applyAlignment="1" applyBorder="1" applyFill="1" applyFont="1" applyNumberFormat="1">
      <alignment horizontal="right" readingOrder="0" vertical="center"/>
    </xf>
    <xf borderId="8" fillId="5" fontId="32" numFmtId="165" xfId="0" applyAlignment="1" applyBorder="1" applyFill="1" applyFont="1" applyNumberFormat="1">
      <alignment horizontal="right" readingOrder="0" vertical="center"/>
    </xf>
    <xf borderId="9" fillId="4" fontId="18" numFmtId="0" xfId="0" applyAlignment="1" applyBorder="1" applyFill="1" applyFont="1">
      <alignment horizontal="right" readingOrder="0" shrinkToFit="0" vertical="center" wrapText="1"/>
    </xf>
    <xf borderId="9" fillId="4" fontId="19" numFmtId="0" xfId="0" applyAlignment="1" applyBorder="1" applyFill="1" applyFont="1">
      <alignment horizontal="right" readingOrder="0" vertical="center"/>
    </xf>
    <xf borderId="9" fillId="4" fontId="21" numFmtId="0" xfId="0" applyAlignment="1" applyBorder="1" applyFill="1" applyFont="1">
      <alignment horizontal="right" readingOrder="0" shrinkToFit="0" vertical="center" wrapText="1"/>
    </xf>
    <xf borderId="9" fillId="4" fontId="21" numFmtId="0" xfId="0" applyAlignment="1" applyBorder="1" applyFill="1" applyFont="1">
      <alignment horizontal="right" readingOrder="0" shrinkToFit="0" vertical="top" wrapText="1"/>
    </xf>
    <xf borderId="10" fillId="4" fontId="19" numFmtId="0" xfId="0" applyAlignment="1" applyBorder="1" applyFill="1" applyFont="1">
      <alignment horizontal="right" readingOrder="0" vertical="center"/>
    </xf>
    <xf borderId="11" fillId="0" fontId="33" numFmtId="0" xfId="0" applyAlignment="1" applyBorder="1" applyFont="1">
      <alignment horizontal="right" readingOrder="0" vertical="center"/>
    </xf>
    <xf borderId="12" fillId="0" fontId="33" numFmtId="0" xfId="0" applyAlignment="1" applyBorder="1" applyFont="1">
      <alignment horizontal="right" readingOrder="0" vertical="center"/>
    </xf>
    <xf borderId="13" fillId="0" fontId="34" numFmtId="0" xfId="0" applyAlignment="1" applyBorder="1" applyFont="1">
      <alignment horizontal="left" readingOrder="0" vertical="center"/>
    </xf>
    <xf borderId="14" fillId="0" fontId="34" numFmtId="0" xfId="0" applyAlignment="1" applyBorder="1" applyFont="1">
      <alignment horizontal="left" readingOrder="0" vertical="center"/>
    </xf>
    <xf borderId="13" fillId="0" fontId="35" numFmtId="165" xfId="0" applyAlignment="1" applyBorder="1" applyFont="1" applyNumberFormat="1">
      <alignment horizontal="right" readingOrder="0" vertical="center"/>
    </xf>
    <xf borderId="15" fillId="0" fontId="35" numFmtId="165" xfId="0" applyAlignment="1" applyBorder="1" applyFont="1" applyNumberFormat="1">
      <alignment horizontal="right" readingOrder="0" vertical="center"/>
    </xf>
    <xf borderId="15" fillId="0" fontId="36" numFmtId="165" xfId="0" applyAlignment="1" applyBorder="1" applyFont="1" applyNumberFormat="1">
      <alignment horizontal="right" vertical="center"/>
    </xf>
    <xf borderId="16" fillId="0" fontId="37" numFmtId="165" xfId="0" applyAlignment="1" applyBorder="1" applyFont="1" applyNumberFormat="1">
      <alignment horizontal="right" vertical="center"/>
    </xf>
    <xf borderId="17" fillId="0" fontId="33" numFmtId="0" xfId="0" applyAlignment="1" applyBorder="1" applyFont="1">
      <alignment horizontal="right" readingOrder="0" vertical="center"/>
    </xf>
    <xf borderId="18" fillId="0" fontId="34" numFmtId="0" xfId="0" applyAlignment="1" applyBorder="1" applyFont="1">
      <alignment horizontal="left" readingOrder="0" vertical="center"/>
    </xf>
    <xf borderId="13" fillId="0" fontId="38" numFmtId="165" xfId="0" applyAlignment="1" applyBorder="1" applyFont="1" applyNumberFormat="1">
      <alignment horizontal="right" vertical="center"/>
    </xf>
    <xf borderId="19" fillId="0" fontId="35" numFmtId="165" xfId="0" applyAlignment="1" applyBorder="1" applyFont="1" applyNumberFormat="1">
      <alignment horizontal="right" readingOrder="0" vertical="center"/>
    </xf>
    <xf borderId="19" fillId="0" fontId="36" numFmtId="165" xfId="0" applyAlignment="1" applyBorder="1" applyFont="1" applyNumberFormat="1">
      <alignment horizontal="right" vertical="center"/>
    </xf>
    <xf borderId="13" fillId="0" fontId="38" numFmtId="165" xfId="0" applyAlignment="1" applyBorder="1" applyFont="1" applyNumberFormat="1">
      <alignment horizontal="right" readingOrder="0" vertical="center"/>
    </xf>
    <xf borderId="20" fillId="0" fontId="37" numFmtId="165" xfId="0" applyAlignment="1" applyBorder="1" applyFont="1" applyNumberFormat="1">
      <alignment horizontal="right" vertical="center"/>
    </xf>
    <xf borderId="13" fillId="0" fontId="36" numFmtId="165" xfId="0" applyAlignment="1" applyBorder="1" applyFont="1" applyNumberFormat="1">
      <alignment horizontal="right" vertical="center"/>
    </xf>
    <xf borderId="21" fillId="0" fontId="37" numFmtId="165" xfId="0" applyAlignment="1" applyBorder="1" applyFont="1" applyNumberFormat="1">
      <alignment horizontal="right" vertical="center"/>
    </xf>
    <xf borderId="22" fillId="0" fontId="33" numFmtId="0" xfId="0" applyAlignment="1" applyBorder="1" applyFont="1">
      <alignment horizontal="right" readingOrder="0" vertical="center"/>
    </xf>
    <xf borderId="23" fillId="0" fontId="34" numFmtId="0" xfId="0" applyAlignment="1" applyBorder="1" applyFont="1">
      <alignment horizontal="left" readingOrder="0" vertical="center"/>
    </xf>
    <xf borderId="23" fillId="0" fontId="35" numFmtId="165" xfId="0" applyAlignment="1" applyBorder="1" applyFont="1" applyNumberFormat="1">
      <alignment horizontal="right" readingOrder="0" vertical="center"/>
    </xf>
    <xf borderId="23" fillId="0" fontId="38" numFmtId="165" xfId="0" applyAlignment="1" applyBorder="1" applyFont="1" applyNumberFormat="1">
      <alignment horizontal="right" vertical="center"/>
    </xf>
    <xf borderId="23" fillId="0" fontId="38" numFmtId="165" xfId="0" applyAlignment="1" applyBorder="1" applyFont="1" applyNumberFormat="1">
      <alignment horizontal="right" readingOrder="0" vertical="center"/>
    </xf>
    <xf borderId="23" fillId="0" fontId="36" numFmtId="165" xfId="0" applyAlignment="1" applyBorder="1" applyFont="1" applyNumberFormat="1">
      <alignment horizontal="right" vertical="center"/>
    </xf>
    <xf borderId="24" fillId="0" fontId="37" numFmtId="165" xfId="0" applyAlignment="1" applyBorder="1" applyFont="1" applyNumberFormat="1">
      <alignment horizontal="right" vertical="center"/>
    </xf>
    <xf borderId="25" fillId="0" fontId="33" numFmtId="0" xfId="0" applyAlignment="1" applyBorder="1" applyFont="1">
      <alignment horizontal="right" readingOrder="0" vertical="center"/>
    </xf>
    <xf borderId="26" fillId="0" fontId="33" numFmtId="0" xfId="0" applyAlignment="1" applyBorder="1" applyFont="1">
      <alignment horizontal="right" readingOrder="0" vertical="center"/>
    </xf>
    <xf borderId="27" fillId="0" fontId="7" numFmtId="0" xfId="0" applyBorder="1" applyFont="1"/>
    <xf borderId="28" fillId="0" fontId="33" numFmtId="0" xfId="0" applyAlignment="1" applyBorder="1" applyFont="1">
      <alignment horizontal="right" readingOrder="0" vertical="center"/>
    </xf>
    <xf borderId="27" fillId="0" fontId="35" numFmtId="165" xfId="0" applyAlignment="1" applyBorder="1" applyFont="1" applyNumberFormat="1">
      <alignment horizontal="right" readingOrder="0" vertical="center"/>
    </xf>
    <xf borderId="29" fillId="0" fontId="34" numFmtId="0" xfId="0" applyAlignment="1" applyBorder="1" applyFont="1">
      <alignment horizontal="left" vertical="center"/>
    </xf>
    <xf borderId="27" fillId="0" fontId="36" numFmtId="165" xfId="0" applyAlignment="1" applyBorder="1" applyFont="1" applyNumberFormat="1">
      <alignment horizontal="right" vertical="center"/>
    </xf>
    <xf borderId="30" fillId="0" fontId="35" numFmtId="165" xfId="0" applyAlignment="1" applyBorder="1" applyFont="1" applyNumberFormat="1">
      <alignment horizontal="right" readingOrder="0" vertical="center"/>
    </xf>
    <xf borderId="31" fillId="0" fontId="37" numFmtId="165" xfId="0" applyAlignment="1" applyBorder="1" applyFont="1" applyNumberFormat="1">
      <alignment horizontal="right" vertical="center"/>
    </xf>
    <xf borderId="32" fillId="0" fontId="33" numFmtId="0" xfId="0" applyAlignment="1" applyBorder="1" applyFont="1">
      <alignment horizontal="right" readingOrder="0" vertical="center"/>
    </xf>
    <xf borderId="30" fillId="0" fontId="36" numFmtId="165" xfId="0" applyAlignment="1" applyBorder="1" applyFont="1" applyNumberFormat="1">
      <alignment horizontal="right" vertical="center"/>
    </xf>
    <xf borderId="27" fillId="0" fontId="34" numFmtId="0" xfId="0" applyAlignment="1" applyBorder="1" applyFont="1">
      <alignment horizontal="left" readingOrder="0" vertical="center"/>
    </xf>
    <xf borderId="33" fillId="0" fontId="37" numFmtId="165" xfId="0" applyAlignment="1" applyBorder="1" applyFont="1" applyNumberFormat="1">
      <alignment horizontal="right" vertical="center"/>
    </xf>
    <xf borderId="34" fillId="0" fontId="33" numFmtId="0" xfId="0" applyAlignment="1" applyBorder="1" applyFont="1">
      <alignment horizontal="right" readingOrder="0" vertical="center"/>
    </xf>
    <xf borderId="27" fillId="0" fontId="39" numFmtId="165" xfId="0" applyAlignment="1" applyBorder="1" applyFont="1" applyNumberFormat="1">
      <alignment horizontal="right" vertical="center"/>
    </xf>
    <xf borderId="35" fillId="0" fontId="34" numFmtId="0" xfId="0" applyAlignment="1" applyBorder="1" applyFont="1">
      <alignment horizontal="left" readingOrder="0" vertical="center"/>
    </xf>
    <xf borderId="36" fillId="0" fontId="37" numFmtId="165" xfId="0" applyAlignment="1" applyBorder="1" applyFont="1" applyNumberFormat="1">
      <alignment horizontal="right" vertical="center"/>
    </xf>
    <xf borderId="35" fillId="0" fontId="35" numFmtId="165" xfId="0" applyAlignment="1" applyBorder="1" applyFont="1" applyNumberFormat="1">
      <alignment horizontal="right" readingOrder="0" vertical="center"/>
    </xf>
    <xf borderId="37" fillId="5" fontId="40" numFmtId="0" xfId="0" applyAlignment="1" applyBorder="1" applyFill="1" applyFont="1">
      <alignment horizontal="right" readingOrder="0" vertical="center"/>
    </xf>
    <xf borderId="35" fillId="0" fontId="39" numFmtId="165" xfId="0" applyAlignment="1" applyBorder="1" applyFont="1" applyNumberFormat="1">
      <alignment horizontal="right" vertical="center"/>
    </xf>
    <xf borderId="38" fillId="5" fontId="23" numFmtId="0" xfId="0" applyAlignment="1" applyBorder="1" applyFill="1" applyFont="1">
      <alignment horizontal="left" readingOrder="0" vertical="center"/>
    </xf>
    <xf borderId="39" fillId="0" fontId="37" numFmtId="165" xfId="0" applyAlignment="1" applyBorder="1" applyFont="1" applyNumberFormat="1">
      <alignment horizontal="right" vertical="center"/>
    </xf>
    <xf borderId="37" fillId="5" fontId="8" numFmtId="0" xfId="0" applyAlignment="1" applyBorder="1" applyFill="1" applyFont="1">
      <alignment horizontal="right" readingOrder="0" vertical="center"/>
    </xf>
    <xf borderId="38" fillId="5" fontId="30" numFmtId="165" xfId="0" applyAlignment="1" applyBorder="1" applyFill="1" applyFont="1" applyNumberFormat="1">
      <alignment horizontal="right" readingOrder="0" vertical="center"/>
    </xf>
    <xf borderId="38" fillId="5" fontId="31" numFmtId="165" xfId="0" applyAlignment="1" applyBorder="1" applyFill="1" applyFont="1" applyNumberFormat="1">
      <alignment horizontal="right" readingOrder="0" vertical="center"/>
    </xf>
    <xf borderId="40" fillId="5" fontId="32" numFmtId="165" xfId="0" applyAlignment="1" applyBorder="1" applyFill="1" applyFont="1" applyNumberFormat="1">
      <alignment horizontal="right" readingOrder="0" vertical="center"/>
    </xf>
    <xf borderId="40" fillId="5" fontId="41" numFmtId="165" xfId="0" applyAlignment="1" applyBorder="1" applyFill="1" applyFont="1" applyNumberFormat="1">
      <alignment horizontal="right" readingOrder="0" vertical="center"/>
    </xf>
    <xf borderId="18" fillId="0" fontId="34" numFmtId="0" xfId="0" applyAlignment="1" applyBorder="1" applyFont="1">
      <alignment horizontal="left" vertical="center"/>
    </xf>
    <xf borderId="41" fillId="0" fontId="33" numFmtId="0" xfId="0" applyAlignment="1" applyBorder="1" applyFont="1">
      <alignment horizontal="right" readingOrder="0" vertical="center"/>
    </xf>
    <xf borderId="42" fillId="0" fontId="34" numFmtId="0" xfId="0" applyAlignment="1" applyBorder="1" applyFont="1">
      <alignment horizontal="left" vertical="center"/>
    </xf>
    <xf borderId="43" fillId="0" fontId="35" numFmtId="165" xfId="0" applyAlignment="1" applyBorder="1" applyFont="1" applyNumberFormat="1">
      <alignment horizontal="right" readingOrder="0" vertical="center"/>
    </xf>
    <xf borderId="43" fillId="0" fontId="36" numFmtId="165" xfId="0" applyAlignment="1" applyBorder="1" applyFont="1" applyNumberFormat="1">
      <alignment horizontal="right" vertical="center"/>
    </xf>
    <xf borderId="44" fillId="0" fontId="36" numFmtId="165" xfId="0" applyAlignment="1" applyBorder="1" applyFont="1" applyNumberFormat="1">
      <alignment horizontal="right" vertical="center"/>
    </xf>
    <xf borderId="45" fillId="0" fontId="37" numFmtId="165" xfId="0" applyAlignment="1" applyBorder="1" applyFont="1" applyNumberFormat="1">
      <alignment horizontal="right" vertical="center"/>
    </xf>
    <xf borderId="46" fillId="0" fontId="33" numFmtId="0" xfId="0" applyAlignment="1" applyBorder="1" applyFont="1">
      <alignment horizontal="right" readingOrder="0" vertical="center"/>
    </xf>
    <xf borderId="27" fillId="0" fontId="38" numFmtId="165" xfId="0" applyAlignment="1" applyBorder="1" applyFont="1" applyNumberFormat="1">
      <alignment horizontal="right" vertical="center"/>
    </xf>
    <xf borderId="27" fillId="0" fontId="38" numFmtId="165" xfId="0" applyAlignment="1" applyBorder="1" applyFont="1" applyNumberFormat="1">
      <alignment horizontal="right" readingOrder="0" vertical="center"/>
    </xf>
    <xf borderId="27" fillId="0" fontId="34" numFmtId="0" xfId="0" applyAlignment="1" applyBorder="1" applyFont="1">
      <alignment horizontal="left" vertical="center"/>
    </xf>
    <xf borderId="47" fillId="5" fontId="40" numFmtId="0" xfId="0" applyAlignment="1" applyBorder="1" applyFill="1" applyFont="1">
      <alignment horizontal="right" readingOrder="0" vertical="center"/>
    </xf>
    <xf borderId="48" fillId="0" fontId="34" numFmtId="0" xfId="0" applyAlignment="1" applyBorder="1" applyFont="1">
      <alignment horizontal="left" vertical="center"/>
    </xf>
    <xf borderId="48" fillId="0" fontId="35" numFmtId="165" xfId="0" applyAlignment="1" applyBorder="1" applyFont="1" applyNumberFormat="1">
      <alignment horizontal="right" readingOrder="0" vertical="center"/>
    </xf>
    <xf borderId="48" fillId="0" fontId="39" numFmtId="165" xfId="0" applyAlignment="1" applyBorder="1" applyFont="1" applyNumberFormat="1">
      <alignment horizontal="right" vertical="center"/>
    </xf>
    <xf borderId="47" fillId="5" fontId="8" numFmtId="0" xfId="0" applyAlignment="1" applyBorder="1" applyFill="1" applyFont="1">
      <alignment horizontal="right" readingOrder="0" vertical="center"/>
    </xf>
    <xf borderId="49" fillId="0" fontId="37" numFmtId="165" xfId="0" applyAlignment="1" applyBorder="1" applyFont="1" applyNumberFormat="1">
      <alignment horizontal="right" vertical="center"/>
    </xf>
    <xf borderId="50" fillId="0" fontId="33" numFmtId="0" xfId="0" applyAlignment="1" applyBorder="1" applyFont="1">
      <alignment horizontal="right" readingOrder="0" vertical="center"/>
    </xf>
    <xf borderId="51" fillId="0" fontId="34" numFmtId="0" xfId="0" applyAlignment="1" applyBorder="1" applyFont="1">
      <alignment horizontal="left" vertical="center"/>
    </xf>
    <xf borderId="51" fillId="0" fontId="35" numFmtId="165" xfId="0" applyAlignment="1" applyBorder="1" applyFont="1" applyNumberFormat="1">
      <alignment horizontal="right" readingOrder="0" vertical="center"/>
    </xf>
    <xf borderId="51" fillId="0" fontId="38" numFmtId="165" xfId="0" applyAlignment="1" applyBorder="1" applyFont="1" applyNumberFormat="1">
      <alignment horizontal="right" vertical="center"/>
    </xf>
    <xf borderId="51" fillId="0" fontId="38" numFmtId="165" xfId="0" applyAlignment="1" applyBorder="1" applyFont="1" applyNumberFormat="1">
      <alignment horizontal="right" readingOrder="0" vertical="center"/>
    </xf>
    <xf borderId="51" fillId="0" fontId="36" numFmtId="165" xfId="0" applyAlignment="1" applyBorder="1" applyFont="1" applyNumberFormat="1">
      <alignment horizontal="right" vertical="center"/>
    </xf>
    <xf borderId="52" fillId="0" fontId="37" numFmtId="165" xfId="0" applyAlignment="1" applyBorder="1" applyFont="1" applyNumberFormat="1">
      <alignment horizontal="right" vertical="center"/>
    </xf>
    <xf borderId="53" fillId="5" fontId="8" numFmtId="0" xfId="0" applyAlignment="1" applyBorder="1" applyFill="1" applyFont="1">
      <alignment horizontal="right" readingOrder="0" vertical="center"/>
    </xf>
    <xf borderId="54" fillId="5" fontId="23" numFmtId="0" xfId="0" applyAlignment="1" applyBorder="1" applyFill="1" applyFont="1">
      <alignment horizontal="left" readingOrder="0" vertical="center"/>
    </xf>
    <xf borderId="54" fillId="5" fontId="30" numFmtId="165" xfId="0" applyAlignment="1" applyBorder="1" applyFill="1" applyFont="1" applyNumberFormat="1">
      <alignment horizontal="right" readingOrder="0" vertical="center"/>
    </xf>
    <xf borderId="54" fillId="5" fontId="31" numFmtId="165" xfId="0" applyAlignment="1" applyBorder="1" applyFill="1" applyFont="1" applyNumberFormat="1">
      <alignment horizontal="right" readingOrder="0" vertical="center"/>
    </xf>
    <xf borderId="54" fillId="5" fontId="30" numFmtId="0" xfId="0" applyAlignment="1" applyBorder="1" applyFill="1" applyFont="1">
      <alignment horizontal="right" readingOrder="0" vertical="center"/>
    </xf>
    <xf borderId="55" fillId="5" fontId="8" numFmtId="0" xfId="0" applyAlignment="1" applyBorder="1" applyFill="1" applyFont="1">
      <alignment horizontal="right" readingOrder="0" vertical="center"/>
    </xf>
    <xf borderId="13" fillId="0" fontId="34" numFmtId="0" xfId="0" applyAlignment="1" applyBorder="1" applyFont="1">
      <alignment horizontal="left" vertical="center"/>
    </xf>
    <xf borderId="23" fillId="0" fontId="34" numFmtId="0" xfId="0" applyAlignment="1" applyBorder="1" applyFont="1">
      <alignment horizontal="left" vertical="center"/>
    </xf>
    <xf borderId="56" fillId="0" fontId="33" numFmtId="0" xfId="0" applyAlignment="1" applyBorder="1" applyFont="1">
      <alignment horizontal="right" readingOrder="0" vertical="center"/>
    </xf>
    <xf borderId="48" fillId="0" fontId="34" numFmtId="0" xfId="0" applyAlignment="1" applyBorder="1" applyFont="1">
      <alignment horizontal="left" readingOrder="0" vertical="center"/>
    </xf>
    <xf borderId="48" fillId="0" fontId="36" numFmtId="165" xfId="0" applyAlignment="1" applyBorder="1" applyFont="1" applyNumberFormat="1">
      <alignment horizontal="right" vertical="center"/>
    </xf>
    <xf borderId="57" fillId="0" fontId="37" numFmtId="165" xfId="0" applyAlignment="1" applyBorder="1" applyFont="1" applyNumberFormat="1">
      <alignment horizontal="right" vertical="center"/>
    </xf>
    <xf borderId="58" fillId="0" fontId="33" numFmtId="0" xfId="0" applyAlignment="1" applyBorder="1" applyFont="1">
      <alignment horizontal="right" readingOrder="0" vertical="center"/>
    </xf>
    <xf borderId="59" fillId="0" fontId="33" numFmtId="0" xfId="0" applyAlignment="1" applyBorder="1" applyFont="1">
      <alignment horizontal="right" readingOrder="0" vertical="center"/>
    </xf>
    <xf borderId="51" fillId="0" fontId="34" numFmtId="0" xfId="0" applyAlignment="1" applyBorder="1" applyFont="1">
      <alignment horizontal="left" readingOrder="0" vertical="center"/>
    </xf>
    <xf borderId="0" fillId="0" fontId="42" numFmtId="0" xfId="0" applyAlignment="1" applyFont="1">
      <alignment vertical="center"/>
    </xf>
    <xf borderId="0" fillId="0" fontId="43" numFmtId="0" xfId="0" applyAlignment="1" applyFont="1">
      <alignment horizontal="right" vertical="center"/>
    </xf>
    <xf borderId="0" fillId="0" fontId="44" numFmtId="0" xfId="0" applyAlignment="1" applyFont="1">
      <alignment vertical="center"/>
    </xf>
    <xf borderId="0" fillId="0" fontId="45" numFmtId="0" xfId="0" applyAlignment="1" applyFont="1">
      <alignment vertical="center"/>
    </xf>
    <xf borderId="0" fillId="0" fontId="42" numFmtId="0" xfId="0" applyAlignment="1" applyFont="1">
      <alignment horizontal="center" readingOrder="0" vertical="center"/>
    </xf>
    <xf borderId="0" fillId="0" fontId="44" numFmtId="0" xfId="0" applyAlignment="1" applyFont="1">
      <alignment horizontal="center" readingOrder="0" vertical="center"/>
    </xf>
    <xf borderId="43" fillId="0" fontId="34" numFmtId="0" xfId="0" applyAlignment="1" applyBorder="1" applyFont="1">
      <alignment horizontal="left" vertical="center"/>
    </xf>
    <xf borderId="0" fillId="0" fontId="42" numFmtId="0" xfId="0" applyAlignment="1" applyFont="1">
      <alignment readingOrder="0" vertical="center"/>
    </xf>
    <xf borderId="0" fillId="0" fontId="46" numFmtId="0" xfId="0" applyAlignment="1" applyFont="1">
      <alignment vertical="center"/>
    </xf>
    <xf borderId="43" fillId="0" fontId="38" numFmtId="165" xfId="0" applyAlignment="1" applyBorder="1" applyFont="1" applyNumberFormat="1">
      <alignment horizontal="right" vertical="center"/>
    </xf>
    <xf borderId="0" fillId="0" fontId="46" numFmtId="0" xfId="0" applyAlignment="1" applyFont="1">
      <alignment horizontal="right" vertical="center"/>
    </xf>
    <xf borderId="43" fillId="0" fontId="38" numFmtId="165" xfId="0" applyAlignment="1" applyBorder="1" applyFont="1" applyNumberFormat="1">
      <alignment horizontal="right" readingOrder="0" vertical="center"/>
    </xf>
    <xf borderId="0" fillId="0" fontId="47" numFmtId="0" xfId="0" applyAlignment="1" applyFont="1">
      <alignment horizontal="left" readingOrder="0" vertical="center"/>
    </xf>
    <xf borderId="0" fillId="0" fontId="48" numFmtId="0" xfId="0" applyAlignment="1" applyFont="1">
      <alignment horizontal="left" readingOrder="0" vertical="center"/>
    </xf>
    <xf borderId="0" fillId="0" fontId="49" numFmtId="0" xfId="0" applyAlignment="1" applyFont="1">
      <alignment horizontal="right" vertical="center"/>
    </xf>
    <xf borderId="0" fillId="0" fontId="50" numFmtId="0" xfId="0" applyAlignment="1" applyFont="1">
      <alignment horizontal="right" vertical="center"/>
    </xf>
    <xf borderId="0" fillId="0" fontId="51" numFmtId="0" xfId="0" applyAlignment="1" applyFont="1">
      <alignment horizontal="center" vertical="center"/>
    </xf>
    <xf borderId="0" fillId="0" fontId="52" numFmtId="0" xfId="0" applyAlignment="1" applyFont="1">
      <alignment horizontal="right" readingOrder="0" vertical="center"/>
    </xf>
    <xf borderId="1" fillId="2" fontId="53" numFmtId="165" xfId="0" applyAlignment="1" applyBorder="1" applyFill="1" applyFont="1" applyNumberFormat="1">
      <alignment vertical="center"/>
    </xf>
    <xf borderId="1" fillId="2" fontId="14" numFmtId="166" xfId="0" applyAlignment="1" applyBorder="1" applyFill="1" applyFont="1" applyNumberFormat="1">
      <alignment horizontal="right" readingOrder="0" vertical="center"/>
    </xf>
    <xf borderId="0" fillId="0" fontId="54" numFmtId="0" xfId="0" applyAlignment="1" applyFont="1">
      <alignment horizontal="right" vertical="center"/>
    </xf>
    <xf borderId="60" fillId="5" fontId="55" numFmtId="0" xfId="0" applyAlignment="1" applyBorder="1" applyFill="1" applyFont="1">
      <alignment readingOrder="0" vertical="center"/>
    </xf>
    <xf borderId="60" fillId="5" fontId="12" numFmtId="165" xfId="0" applyAlignment="1" applyBorder="1" applyFill="1" applyFont="1" applyNumberFormat="1">
      <alignment horizontal="right" readingOrder="0" vertical="center"/>
    </xf>
    <xf borderId="60" fillId="5" fontId="56" numFmtId="165" xfId="0" applyAlignment="1" applyBorder="1" applyFill="1" applyFont="1" applyNumberFormat="1">
      <alignment horizontal="right" vertical="center"/>
    </xf>
    <xf borderId="0" fillId="0" fontId="57" numFmtId="165" xfId="0" applyAlignment="1" applyFont="1" applyNumberFormat="1">
      <alignment horizontal="right" vertical="center"/>
    </xf>
    <xf borderId="0" fillId="0" fontId="45" numFmtId="0" xfId="0" applyAlignment="1" applyFont="1">
      <alignment vertical="top"/>
    </xf>
    <xf borderId="0" fillId="0" fontId="43" numFmtId="0" xfId="0" applyAlignment="1" applyFont="1">
      <alignment horizontal="right" vertical="top"/>
    </xf>
    <xf borderId="61" fillId="5" fontId="55" numFmtId="0" xfId="0" applyAlignment="1" applyBorder="1" applyFill="1" applyFont="1">
      <alignment readingOrder="0" vertical="top"/>
    </xf>
    <xf borderId="62" fillId="5" fontId="55" numFmtId="0" xfId="0" applyAlignment="1" applyBorder="1" applyFill="1" applyFont="1">
      <alignment readingOrder="0" vertical="top"/>
    </xf>
    <xf borderId="62" fillId="5" fontId="12" numFmtId="165" xfId="0" applyAlignment="1" applyBorder="1" applyFill="1" applyFont="1" applyNumberFormat="1">
      <alignment horizontal="right" readingOrder="0" vertical="top"/>
    </xf>
    <xf borderId="62" fillId="5" fontId="56" numFmtId="165" xfId="0" applyAlignment="1" applyBorder="1" applyFill="1" applyFont="1" applyNumberFormat="1">
      <alignment horizontal="right" vertical="top"/>
    </xf>
    <xf borderId="61" fillId="5" fontId="56" numFmtId="165" xfId="0" applyAlignment="1" applyBorder="1" applyFill="1" applyFont="1" applyNumberFormat="1">
      <alignment horizontal="right" vertical="top"/>
    </xf>
    <xf borderId="0" fillId="0" fontId="57" numFmtId="165" xfId="0" applyAlignment="1" applyFont="1" applyNumberFormat="1">
      <alignment horizontal="right" vertical="top"/>
    </xf>
    <xf borderId="0" fillId="0" fontId="45" numFmtId="0" xfId="0" applyAlignment="1" applyFont="1">
      <alignment vertical="bottom"/>
    </xf>
    <xf borderId="0" fillId="0" fontId="43" numFmtId="0" xfId="0" applyAlignment="1" applyFont="1">
      <alignment horizontal="right" vertical="bottom"/>
    </xf>
    <xf borderId="61" fillId="5" fontId="58" numFmtId="0" xfId="0" applyAlignment="1" applyBorder="1" applyFill="1" applyFont="1">
      <alignment readingOrder="0" vertical="bottom"/>
    </xf>
    <xf borderId="63" fillId="5" fontId="58" numFmtId="0" xfId="0" applyAlignment="1" applyBorder="1" applyFill="1" applyFont="1">
      <alignment readingOrder="0" vertical="center"/>
    </xf>
    <xf borderId="63" fillId="5" fontId="12" numFmtId="165" xfId="0" applyAlignment="1" applyBorder="1" applyFill="1" applyFont="1" applyNumberFormat="1">
      <alignment horizontal="right" readingOrder="0" vertical="center"/>
    </xf>
    <xf borderId="63" fillId="5" fontId="31" numFmtId="165" xfId="0" applyAlignment="1" applyBorder="1" applyFill="1" applyFont="1" applyNumberFormat="1">
      <alignment horizontal="right" vertical="center"/>
    </xf>
    <xf borderId="63" fillId="5" fontId="56" numFmtId="165" xfId="0" applyAlignment="1" applyBorder="1" applyFill="1" applyFont="1" applyNumberFormat="1">
      <alignment horizontal="right" vertical="center"/>
    </xf>
    <xf borderId="61" fillId="5" fontId="56" numFmtId="165" xfId="0" applyAlignment="1" applyBorder="1" applyFill="1" applyFont="1" applyNumberFormat="1">
      <alignment horizontal="right" vertical="bottom"/>
    </xf>
    <xf borderId="0" fillId="0" fontId="55" numFmtId="165" xfId="0" applyAlignment="1" applyFont="1" applyNumberFormat="1">
      <alignment horizontal="right" readingOrder="0" vertical="bottom"/>
    </xf>
    <xf borderId="61" fillId="5" fontId="58" numFmtId="0" xfId="0" applyAlignment="1" applyBorder="1" applyFill="1" applyFont="1">
      <alignment readingOrder="0" vertical="center"/>
    </xf>
    <xf borderId="61" fillId="5" fontId="58" numFmtId="0" xfId="0" applyAlignment="1" applyBorder="1" applyFill="1" applyFont="1">
      <alignment readingOrder="0" vertical="top"/>
    </xf>
    <xf borderId="61" fillId="5" fontId="59" numFmtId="165" xfId="0" applyAlignment="1" applyBorder="1" applyFill="1" applyFont="1" applyNumberFormat="1">
      <alignment horizontal="right" readingOrder="0" vertical="top"/>
    </xf>
    <xf borderId="61" fillId="5" fontId="56" numFmtId="0" xfId="0" applyAlignment="1" applyBorder="1" applyFill="1" applyFont="1">
      <alignment horizontal="right" vertical="top"/>
    </xf>
    <xf borderId="61" fillId="5" fontId="56" numFmtId="165" xfId="0" applyAlignment="1" applyBorder="1" applyFill="1" applyFont="1" applyNumberFormat="1">
      <alignment horizontal="right" vertical="center"/>
    </xf>
    <xf borderId="0" fillId="0" fontId="57" numFmtId="0" xfId="0" applyAlignment="1" applyFont="1">
      <alignment horizontal="right" vertical="center"/>
    </xf>
    <xf borderId="0" fillId="0" fontId="47" numFmtId="0" xfId="0" applyAlignment="1" applyFont="1">
      <alignment horizontal="right" readingOrder="0" vertical="center"/>
    </xf>
    <xf borderId="0" fillId="3" fontId="60" numFmtId="166" xfId="0" applyAlignment="1" applyFill="1" applyFont="1" applyNumberFormat="1">
      <alignment horizontal="right" readingOrder="0" vertical="center"/>
    </xf>
    <xf borderId="64" fillId="0" fontId="61" numFmtId="0" xfId="0" applyAlignment="1" applyBorder="1" applyFont="1">
      <alignment horizontal="right" readingOrder="0"/>
    </xf>
    <xf borderId="60" fillId="5" fontId="62" numFmtId="165" xfId="0" applyAlignment="1" applyBorder="1" applyFill="1" applyFont="1" applyNumberFormat="1">
      <alignment vertical="center"/>
    </xf>
    <xf borderId="60" fillId="5" fontId="62" numFmtId="165" xfId="0" applyAlignment="1" applyBorder="1" applyFill="1" applyFont="1" applyNumberFormat="1">
      <alignment readingOrder="0" vertical="center"/>
    </xf>
    <xf borderId="60" fillId="5" fontId="63" numFmtId="165" xfId="0" applyAlignment="1" applyBorder="1" applyFill="1" applyFont="1" applyNumberFormat="1">
      <alignment horizontal="right" vertical="center"/>
    </xf>
    <xf borderId="24" fillId="0" fontId="57" numFmtId="165" xfId="0" applyAlignment="1" applyBorder="1" applyFont="1" applyNumberFormat="1">
      <alignment horizontal="right" vertical="center"/>
    </xf>
    <xf borderId="65" fillId="0" fontId="61" numFmtId="0" xfId="0" applyAlignment="1" applyBorder="1" applyFont="1">
      <alignment horizontal="right" readingOrder="0"/>
    </xf>
    <xf borderId="61" fillId="5" fontId="62" numFmtId="165" xfId="0" applyAlignment="1" applyBorder="1" applyFill="1" applyFont="1" applyNumberFormat="1">
      <alignment vertical="center"/>
    </xf>
    <xf borderId="61" fillId="5" fontId="63" numFmtId="165" xfId="0" applyAlignment="1" applyBorder="1" applyFill="1" applyFont="1" applyNumberFormat="1">
      <alignment horizontal="right" vertical="center"/>
    </xf>
    <xf borderId="0" fillId="0" fontId="62" numFmtId="165" xfId="0" applyAlignment="1" applyFont="1" applyNumberFormat="1">
      <alignment vertical="center"/>
    </xf>
    <xf borderId="66" fillId="0" fontId="62" numFmtId="165" xfId="0" applyAlignment="1" applyBorder="1" applyFont="1" applyNumberFormat="1">
      <alignment vertical="center"/>
    </xf>
    <xf borderId="66" fillId="0" fontId="63" numFmtId="165" xfId="0" applyAlignment="1" applyBorder="1" applyFont="1" applyNumberFormat="1">
      <alignment horizontal="right" vertical="center"/>
    </xf>
    <xf borderId="66" fillId="0" fontId="56" numFmtId="0" xfId="0" applyAlignment="1" applyBorder="1" applyFont="1">
      <alignment horizontal="right" vertical="center"/>
    </xf>
    <xf borderId="66" fillId="0" fontId="56" numFmtId="165" xfId="0" applyAlignment="1" applyBorder="1" applyFont="1" applyNumberFormat="1">
      <alignment horizontal="right" vertical="center"/>
    </xf>
    <xf borderId="0" fillId="0" fontId="56" numFmtId="165" xfId="0" applyAlignment="1" applyFont="1" applyNumberFormat="1">
      <alignment horizontal="right" vertical="center"/>
    </xf>
    <xf borderId="0" fillId="0" fontId="49" numFmtId="0" xfId="0" applyAlignment="1" applyFont="1">
      <alignment horizontal="right"/>
    </xf>
    <xf borderId="67" fillId="0" fontId="56" numFmtId="165" xfId="0" applyAlignment="1" applyBorder="1" applyFont="1" applyNumberFormat="1">
      <alignment horizontal="right" vertical="center"/>
    </xf>
    <xf borderId="0" fillId="0" fontId="45" numFmtId="0" xfId="0" applyAlignment="1" applyFont="1">
      <alignment vertical="center"/>
    </xf>
    <xf borderId="68" fillId="0" fontId="43" numFmtId="0" xfId="0" applyAlignment="1" applyBorder="1" applyFont="1">
      <alignment horizontal="right" vertical="center"/>
    </xf>
    <xf borderId="60" fillId="5" fontId="62" numFmtId="165" xfId="0" applyAlignment="1" applyBorder="1" applyFill="1" applyFont="1" applyNumberFormat="1">
      <alignment shrinkToFit="0" vertical="center" wrapText="1"/>
    </xf>
    <xf borderId="24" fillId="0" fontId="57" numFmtId="0" xfId="0" applyAlignment="1" applyBorder="1" applyFont="1">
      <alignment horizontal="right" vertical="center"/>
    </xf>
    <xf borderId="68" fillId="0" fontId="43" numFmtId="0" xfId="0" applyAlignment="1" applyBorder="1" applyFont="1">
      <alignment horizontal="right" vertical="center"/>
    </xf>
    <xf borderId="61" fillId="5" fontId="62" numFmtId="165" xfId="0" applyAlignment="1" applyBorder="1" applyFill="1" applyFont="1" applyNumberFormat="1">
      <alignment shrinkToFit="0" vertical="center" wrapText="1"/>
    </xf>
    <xf borderId="24" fillId="0" fontId="57" numFmtId="0" xfId="0" applyAlignment="1" applyBorder="1" applyFont="1">
      <alignment horizontal="right" vertical="center"/>
    </xf>
    <xf borderId="45" fillId="0" fontId="43" numFmtId="0" xfId="0" applyAlignment="1" applyBorder="1" applyFont="1">
      <alignment horizontal="right" vertical="center"/>
    </xf>
    <xf borderId="48" fillId="0" fontId="62" numFmtId="165" xfId="0" applyAlignment="1" applyBorder="1" applyFont="1" applyNumberFormat="1">
      <alignment vertical="center"/>
    </xf>
    <xf borderId="48" fillId="0" fontId="63" numFmtId="165" xfId="0" applyAlignment="1" applyBorder="1" applyFont="1" applyNumberFormat="1">
      <alignment horizontal="right" vertical="center"/>
    </xf>
    <xf borderId="48" fillId="0" fontId="56" numFmtId="165" xfId="0" applyAlignment="1" applyBorder="1" applyFont="1" applyNumberFormat="1">
      <alignment horizontal="right" vertical="center"/>
    </xf>
    <xf borderId="45" fillId="0" fontId="57" numFmtId="0" xfId="0" applyAlignment="1" applyBorder="1" applyFont="1">
      <alignment horizontal="right" vertical="center"/>
    </xf>
    <xf borderId="45" fillId="0" fontId="63" numFmtId="165" xfId="0" applyAlignment="1" applyBorder="1" applyFont="1" applyNumberFormat="1">
      <alignment horizontal="right" vertical="center"/>
    </xf>
    <xf borderId="0" fillId="0" fontId="63" numFmtId="165" xfId="0" applyAlignment="1" applyFont="1" applyNumberFormat="1">
      <alignment horizontal="right" vertical="center"/>
    </xf>
    <xf borderId="0" fillId="0" fontId="57" numFmtId="0" xfId="0" applyAlignment="1" applyFont="1">
      <alignment vertical="center"/>
    </xf>
    <xf borderId="0" fillId="0" fontId="42" numFmtId="0" xfId="0" applyFont="1"/>
    <xf borderId="0" fillId="0" fontId="12" numFmtId="165" xfId="0" applyFont="1" applyNumberFormat="1"/>
    <xf borderId="0" fillId="0" fontId="12" numFmtId="165" xfId="0" applyAlignment="1" applyFont="1" applyNumberFormat="1">
      <alignment vertical="center"/>
    </xf>
    <xf borderId="0" fillId="3" fontId="63" numFmtId="165" xfId="0" applyAlignment="1" applyFill="1" applyFont="1" applyNumberFormat="1">
      <alignment vertical="center"/>
    </xf>
    <xf borderId="0" fillId="0" fontId="50" numFmtId="165" xfId="0" applyAlignment="1" applyFont="1" applyNumberFormat="1">
      <alignment vertical="center"/>
    </xf>
  </cellXfs>
  <cellStyles count="1">
    <cellStyle xfId="0" name="Normal" builtinId="0"/>
  </cellStyles>
  <dxfs count="1">
    <dxf>
      <font>
        <color rgb="FFF46524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434343"/>
                </a:solidFill>
                <a:latin typeface="Roboto"/>
              </a:defRPr>
            </a:pPr>
            <a:r>
              <a:rPr b="1" sz="1600">
                <a:solidFill>
                  <a:srgbClr val="434343"/>
                </a:solidFill>
                <a:latin typeface="Roboto"/>
              </a:rPr>
              <a:t>Auntie Aloha Cash Model</a:t>
            </a:r>
          </a:p>
        </c:rich>
      </c:tx>
      <c:overlay val="0"/>
    </c:title>
    <c:plotArea>
      <c:layout>
        <c:manualLayout>
          <c:xMode val="edge"/>
          <c:yMode val="edge"/>
          <c:x val="0.053380000000000004"/>
          <c:y val="0.19128"/>
          <c:w val="0.9089499999999999"/>
          <c:h val="0.6745"/>
        </c:manualLayout>
      </c:layout>
      <c:areaChart>
        <c:ser>
          <c:idx val="2"/>
          <c:order val="2"/>
          <c:tx>
            <c:strRef>
              <c:f>Summary!$D$21</c:f>
            </c:strRef>
          </c:tx>
          <c:spPr>
            <a:solidFill>
              <a:srgbClr val="999999">
                <a:alpha val="5000"/>
              </a:srgbClr>
            </a:solidFill>
            <a:ln cmpd="sng" w="9525">
              <a:solidFill>
                <a:srgbClr val="999999"/>
              </a:solidFill>
            </a:ln>
          </c:spPr>
          <c:cat>
            <c:strRef>
              <c:f>Summary!$E$17:$P$17</c:f>
            </c:strRef>
          </c:cat>
          <c:val>
            <c:numRef>
              <c:f>Summary!$E$21:$P$21</c:f>
              <c:numCache/>
            </c:numRef>
          </c:val>
        </c:ser>
        <c:axId val="1683456012"/>
        <c:axId val="72918220"/>
      </c:areaChart>
      <c:lineChart>
        <c:ser>
          <c:idx val="0"/>
          <c:order val="0"/>
          <c:tx>
            <c:strRef>
              <c:f>Summary!$D$18</c:f>
            </c:strRef>
          </c:tx>
          <c:spPr>
            <a:ln cmpd="sng" w="19050">
              <a:solidFill>
                <a:srgbClr val="6AA84F"/>
              </a:solidFill>
            </a:ln>
          </c:spPr>
          <c:marker>
            <c:symbol val="circle"/>
            <c:size val="2"/>
            <c:spPr>
              <a:solidFill>
                <a:srgbClr val="6AA84F"/>
              </a:solidFill>
              <a:ln cmpd="sng">
                <a:solidFill>
                  <a:srgbClr val="6AA84F"/>
                </a:solidFill>
              </a:ln>
            </c:spPr>
          </c:marker>
          <c:cat>
            <c:strRef>
              <c:f>Summary!$E$17:$P$17</c:f>
            </c:strRef>
          </c:cat>
          <c:val>
            <c:numRef>
              <c:f>Summary!$E$18:$P$18</c:f>
              <c:numCache/>
            </c:numRef>
          </c:val>
          <c:smooth val="0"/>
        </c:ser>
        <c:ser>
          <c:idx val="1"/>
          <c:order val="1"/>
          <c:tx>
            <c:strRef>
              <c:f>Summary!$D$19</c:f>
            </c:strRef>
          </c:tx>
          <c:spPr>
            <a:ln cmpd="sng" w="9525">
              <a:solidFill>
                <a:srgbClr val="DC3912"/>
              </a:solidFill>
            </a:ln>
          </c:spPr>
          <c:marker>
            <c:symbol val="circle"/>
            <c:size val="2"/>
            <c:spPr>
              <a:solidFill>
                <a:srgbClr val="DC3912"/>
              </a:solidFill>
              <a:ln cmpd="sng">
                <a:solidFill>
                  <a:srgbClr val="DC3912"/>
                </a:solidFill>
              </a:ln>
            </c:spPr>
          </c:marker>
          <c:cat>
            <c:strRef>
              <c:f>Summary!$E$17:$P$17</c:f>
            </c:strRef>
          </c:cat>
          <c:val>
            <c:numRef>
              <c:f>Summary!$E$19:$P$19</c:f>
              <c:numCache/>
            </c:numRef>
          </c:val>
          <c:smooth val="0"/>
        </c:ser>
        <c:axId val="1683456012"/>
        <c:axId val="72918220"/>
      </c:lineChart>
      <c:catAx>
        <c:axId val="1683456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 sz="1200">
                    <a:solidFill>
                      <a:srgbClr val="434343"/>
                    </a:solidFill>
                    <a:latin typeface="Roboto"/>
                  </a:defRPr>
                </a:pPr>
                <a:r>
                  <a:rPr b="0" i="1" sz="1200">
                    <a:solidFill>
                      <a:srgbClr val="434343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72918220"/>
      </c:catAx>
      <c:valAx>
        <c:axId val="72918220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100">
                <a:solidFill>
                  <a:srgbClr val="222222"/>
                </a:solidFill>
                <a:latin typeface="Roboto"/>
              </a:defRPr>
            </a:pPr>
          </a:p>
        </c:txPr>
        <c:crossAx val="1683456012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434343"/>
              </a:solidFill>
              <a:latin typeface="Roboto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434343"/>
                </a:solidFill>
                <a:latin typeface="Roboto"/>
              </a:defRPr>
            </a:pPr>
            <a:r>
              <a:rPr b="1" i="0" sz="1200">
                <a:solidFill>
                  <a:srgbClr val="434343"/>
                </a:solidFill>
                <a:latin typeface="Roboto"/>
              </a:rPr>
              <a:t>Average $ spent per category</a:t>
            </a:r>
          </a:p>
        </c:rich>
      </c:tx>
      <c:overlay val="0"/>
    </c:title>
    <c:plotArea>
      <c:layout>
        <c:manualLayout>
          <c:xMode val="edge"/>
          <c:yMode val="edge"/>
          <c:x val="0.04796"/>
          <c:y val="0.16573000000000002"/>
          <c:w val="0.9316"/>
          <c:h val="0.7162900000000001"/>
        </c:manualLayout>
      </c:layout>
      <c:barChart>
        <c:barDir val="col"/>
        <c:ser>
          <c:idx val="0"/>
          <c:order val="0"/>
          <c:spPr>
            <a:solidFill>
              <a:srgbClr val="FF9900"/>
            </a:solidFill>
            <a:ln cmpd="sng">
              <a:noFill/>
            </a:ln>
          </c:spPr>
          <c:cat>
            <c:strRef>
              <c:f>Summary!$D$30:$D$39</c:f>
            </c:strRef>
          </c:cat>
          <c:val>
            <c:numRef>
              <c:f>Summary!$R$30:$R$39</c:f>
              <c:numCache/>
            </c:numRef>
          </c:val>
        </c:ser>
        <c:axId val="1969814185"/>
        <c:axId val="1774397352"/>
      </c:barChart>
      <c:catAx>
        <c:axId val="19698141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1774397352"/>
      </c:catAx>
      <c:valAx>
        <c:axId val="1774397352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1969814185"/>
      </c:valAx>
    </c:plotArea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0</xdr:row>
      <xdr:rowOff>371475</xdr:rowOff>
    </xdr:from>
    <xdr:ext cx="12544425" cy="2962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47625</xdr:colOff>
      <xdr:row>34</xdr:row>
      <xdr:rowOff>66675</xdr:rowOff>
    </xdr:from>
    <xdr:ext cx="12544425" cy="3390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5.13"/>
    <col customWidth="1" min="2" max="2" width="14.63"/>
    <col customWidth="1" min="3" max="3" width="26.0"/>
    <col customWidth="1" min="4" max="5" width="8.13"/>
    <col customWidth="1" min="6" max="7" width="5.13"/>
  </cols>
  <sheetData>
    <row r="1" ht="72.75" customHeight="1">
      <c r="A1" s="2"/>
      <c r="B1" s="5" t="s">
        <v>0</v>
      </c>
      <c r="C1" s="7"/>
      <c r="D1" s="10"/>
      <c r="E1" s="10"/>
      <c r="F1" s="10"/>
      <c r="G1" s="11"/>
    </row>
    <row r="2" ht="7.5" customHeight="1">
      <c r="A2" s="12"/>
      <c r="B2" s="13"/>
      <c r="C2" s="13"/>
      <c r="D2" s="14"/>
      <c r="E2" s="14"/>
      <c r="F2" s="14"/>
      <c r="G2" s="15"/>
    </row>
    <row r="3" ht="40.5" customHeight="1">
      <c r="A3" s="17"/>
      <c r="B3" s="20" t="s">
        <v>5</v>
      </c>
      <c r="G3" s="22"/>
    </row>
    <row r="4" ht="60.0" customHeight="1">
      <c r="A4" s="23"/>
      <c r="B4" s="25" t="s">
        <v>6</v>
      </c>
      <c r="C4" s="28"/>
      <c r="D4" s="29"/>
      <c r="E4" s="29"/>
      <c r="F4" s="29"/>
      <c r="G4" s="31"/>
    </row>
    <row r="5" ht="22.5" customHeight="1">
      <c r="A5" s="33" t="s">
        <v>9</v>
      </c>
      <c r="B5" s="35" t="s">
        <v>11</v>
      </c>
      <c r="G5" s="36"/>
    </row>
    <row r="6" ht="22.5" customHeight="1">
      <c r="A6" s="33" t="s">
        <v>12</v>
      </c>
      <c r="B6" s="37" t="s">
        <v>13</v>
      </c>
      <c r="G6" s="36"/>
    </row>
    <row r="7" ht="22.5" customHeight="1">
      <c r="A7" s="38" t="s">
        <v>14</v>
      </c>
      <c r="B7" s="39" t="s">
        <v>15</v>
      </c>
      <c r="G7" s="36"/>
    </row>
    <row r="8" ht="26.25" customHeight="1">
      <c r="A8" s="40"/>
      <c r="B8" s="41"/>
      <c r="C8" s="41"/>
      <c r="D8" s="42"/>
      <c r="E8" s="42"/>
      <c r="F8" s="42"/>
      <c r="G8" s="43"/>
    </row>
    <row r="9" ht="16.5" customHeight="1">
      <c r="A9" s="44"/>
      <c r="B9" s="45"/>
      <c r="C9" s="45"/>
      <c r="D9" s="46"/>
      <c r="E9" s="46"/>
      <c r="F9" s="46"/>
      <c r="G9" s="47"/>
    </row>
    <row r="10" ht="32.25" customHeight="1">
      <c r="A10" s="48"/>
      <c r="B10" s="49" t="s">
        <v>16</v>
      </c>
      <c r="C10" s="50"/>
      <c r="D10" s="50"/>
      <c r="E10" s="50"/>
      <c r="F10" s="50"/>
      <c r="G10" s="51"/>
    </row>
    <row r="11" ht="34.5" customHeight="1">
      <c r="A11" s="48"/>
      <c r="B11" s="52" t="s">
        <v>17</v>
      </c>
      <c r="C11" s="53">
        <v>14000.0</v>
      </c>
      <c r="D11" s="54"/>
      <c r="E11" s="54"/>
      <c r="F11" s="54"/>
      <c r="G11" s="51"/>
    </row>
    <row r="12" ht="38.25" customHeight="1">
      <c r="A12" s="55"/>
      <c r="B12" s="56"/>
      <c r="C12" s="57"/>
      <c r="D12" s="58"/>
      <c r="E12" s="58"/>
      <c r="F12" s="58"/>
      <c r="G12" s="57"/>
    </row>
  </sheetData>
  <mergeCells count="5">
    <mergeCell ref="B1:C1"/>
    <mergeCell ref="B3:F3"/>
    <mergeCell ref="B5:F5"/>
    <mergeCell ref="B6:F6"/>
    <mergeCell ref="B7:F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 outlineLevelRow="1"/>
  <cols>
    <col customWidth="1" min="1" max="1" width="2.13"/>
    <col customWidth="1" min="2" max="2" width="5.88"/>
    <col customWidth="1" min="3" max="4" width="2.0"/>
    <col customWidth="1" min="5" max="5" width="25.5"/>
    <col customWidth="1" min="6" max="17" width="9.63"/>
    <col customWidth="1" min="18" max="18" width="14.13"/>
    <col customWidth="1" min="19" max="19" width="11.63"/>
    <col customWidth="1" min="20" max="20" width="4.88"/>
  </cols>
  <sheetData>
    <row r="1" ht="38.25" customHeight="1">
      <c r="A1" s="1"/>
      <c r="B1" s="1"/>
      <c r="C1" s="1"/>
      <c r="D1" s="1"/>
      <c r="E1" s="4" t="s">
        <v>1</v>
      </c>
      <c r="F1" s="9">
        <v>42370.0</v>
      </c>
      <c r="G1" s="9">
        <v>42401.0</v>
      </c>
      <c r="H1" s="9">
        <v>42430.0</v>
      </c>
      <c r="I1" s="9">
        <v>42461.0</v>
      </c>
      <c r="J1" s="9">
        <v>42491.0</v>
      </c>
      <c r="K1" s="9">
        <v>42522.0</v>
      </c>
      <c r="L1" s="9">
        <v>42552.0</v>
      </c>
      <c r="M1" s="9">
        <v>42583.0</v>
      </c>
      <c r="N1" s="9">
        <v>42614.0</v>
      </c>
      <c r="O1" s="9">
        <v>42644.0</v>
      </c>
      <c r="P1" s="9">
        <v>42675.0</v>
      </c>
      <c r="Q1" s="9">
        <v>42705.0</v>
      </c>
      <c r="R1" s="16" t="s">
        <v>3</v>
      </c>
      <c r="S1" s="18" t="s">
        <v>4</v>
      </c>
      <c r="T1" s="21"/>
    </row>
    <row r="2" ht="38.25" customHeight="1">
      <c r="A2" s="24"/>
      <c r="B2" s="27" t="s">
        <v>7</v>
      </c>
      <c r="C2" s="30"/>
      <c r="D2" s="32"/>
      <c r="E2" s="34" t="s">
        <v>10</v>
      </c>
      <c r="F2" s="59">
        <f t="shared" ref="F2:Q2" si="1">sum(F3:F8)</f>
        <v>0</v>
      </c>
      <c r="G2" s="59">
        <f t="shared" si="1"/>
        <v>0</v>
      </c>
      <c r="H2" s="59">
        <f t="shared" si="1"/>
        <v>0</v>
      </c>
      <c r="I2" s="59">
        <f t="shared" si="1"/>
        <v>5000</v>
      </c>
      <c r="J2" s="59">
        <f t="shared" si="1"/>
        <v>19400</v>
      </c>
      <c r="K2" s="59">
        <f t="shared" si="1"/>
        <v>22400</v>
      </c>
      <c r="L2" s="59">
        <f t="shared" si="1"/>
        <v>28320</v>
      </c>
      <c r="M2" s="59">
        <f t="shared" si="1"/>
        <v>24320</v>
      </c>
      <c r="N2" s="59">
        <f t="shared" si="1"/>
        <v>24920</v>
      </c>
      <c r="O2" s="59">
        <f t="shared" si="1"/>
        <v>30840</v>
      </c>
      <c r="P2" s="59">
        <f t="shared" si="1"/>
        <v>26840</v>
      </c>
      <c r="Q2" s="59">
        <f t="shared" si="1"/>
        <v>27440</v>
      </c>
      <c r="R2" s="60">
        <f t="shared" ref="R2:R7" si="2">sum(F2:Q2)</f>
        <v>209480</v>
      </c>
      <c r="S2" s="59">
        <f>iferror(average(F2:Q2),"")</f>
        <v>17456.66667</v>
      </c>
      <c r="T2" s="61"/>
    </row>
    <row r="3" ht="19.5" customHeight="1" outlineLevel="1">
      <c r="A3" s="63"/>
      <c r="B3" s="65"/>
      <c r="C3" s="66"/>
      <c r="D3" s="68"/>
      <c r="E3" s="70" t="s">
        <v>19</v>
      </c>
      <c r="F3" s="72"/>
      <c r="G3" s="72"/>
      <c r="H3" s="72"/>
      <c r="I3" s="72"/>
      <c r="J3" s="72">
        <v>5000.0</v>
      </c>
      <c r="K3" s="72">
        <v>5000.0</v>
      </c>
      <c r="L3" s="72">
        <v>5000.0</v>
      </c>
      <c r="M3" s="72">
        <v>5000.0</v>
      </c>
      <c r="N3" s="72">
        <v>5000.0</v>
      </c>
      <c r="O3" s="72">
        <v>5000.0</v>
      </c>
      <c r="P3" s="72">
        <v>5000.0</v>
      </c>
      <c r="Q3" s="72">
        <v>5000.0</v>
      </c>
      <c r="R3" s="73">
        <f t="shared" si="2"/>
        <v>40000</v>
      </c>
      <c r="S3" s="73">
        <f t="shared" ref="S3:S7" si="3">iferror(average(F3:Q3), "$0")</f>
        <v>5000</v>
      </c>
      <c r="T3" s="74"/>
    </row>
    <row r="4" ht="19.5" customHeight="1" outlineLevel="1">
      <c r="A4" s="63"/>
      <c r="B4" s="65"/>
      <c r="C4" s="66"/>
      <c r="D4" s="75"/>
      <c r="E4" s="76" t="s">
        <v>20</v>
      </c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9">
        <f t="shared" si="2"/>
        <v>0</v>
      </c>
      <c r="S4" s="79" t="str">
        <f t="shared" si="3"/>
        <v>$0</v>
      </c>
      <c r="T4" s="81"/>
    </row>
    <row r="5" ht="19.5" customHeight="1" outlineLevel="1">
      <c r="A5" s="63"/>
      <c r="B5" s="65"/>
      <c r="C5" s="66"/>
      <c r="D5" s="75"/>
      <c r="E5" s="76" t="s">
        <v>21</v>
      </c>
      <c r="F5" s="78"/>
      <c r="G5" s="78"/>
      <c r="H5" s="78"/>
      <c r="I5" s="78"/>
      <c r="J5" s="78"/>
      <c r="K5" s="78"/>
      <c r="L5" s="78">
        <v>4000.0</v>
      </c>
      <c r="M5" s="78"/>
      <c r="N5" s="78"/>
      <c r="O5" s="78">
        <v>4000.0</v>
      </c>
      <c r="P5" s="78"/>
      <c r="Q5" s="78"/>
      <c r="R5" s="79">
        <f t="shared" si="2"/>
        <v>8000</v>
      </c>
      <c r="S5" s="79">
        <f t="shared" si="3"/>
        <v>4000</v>
      </c>
      <c r="T5" s="81"/>
    </row>
    <row r="6" ht="19.5" customHeight="1" outlineLevel="1">
      <c r="A6" s="63"/>
      <c r="B6" s="65"/>
      <c r="C6" s="66"/>
      <c r="D6" s="75"/>
      <c r="E6" s="76" t="s">
        <v>22</v>
      </c>
      <c r="F6" s="78"/>
      <c r="G6" s="78"/>
      <c r="H6" s="78"/>
      <c r="I6" s="78">
        <v>5000.0</v>
      </c>
      <c r="J6" s="78">
        <f t="shared" ref="J6:K6" si="4">(1500*2)*4.8</f>
        <v>14400</v>
      </c>
      <c r="K6" s="78">
        <f t="shared" si="4"/>
        <v>14400</v>
      </c>
      <c r="L6" s="78">
        <f t="shared" ref="L6:N6" si="5">(1700*2)*4.8</f>
        <v>16320</v>
      </c>
      <c r="M6" s="78">
        <f t="shared" si="5"/>
        <v>16320</v>
      </c>
      <c r="N6" s="78">
        <f t="shared" si="5"/>
        <v>16320</v>
      </c>
      <c r="O6" s="78">
        <f t="shared" ref="O6:Q6" si="6">(1900*2)*4.8</f>
        <v>18240</v>
      </c>
      <c r="P6" s="78">
        <f t="shared" si="6"/>
        <v>18240</v>
      </c>
      <c r="Q6" s="78">
        <f t="shared" si="6"/>
        <v>18240</v>
      </c>
      <c r="R6" s="79">
        <f t="shared" si="2"/>
        <v>137480</v>
      </c>
      <c r="S6" s="79">
        <f t="shared" si="3"/>
        <v>15275.55556</v>
      </c>
      <c r="T6" s="81"/>
    </row>
    <row r="7" ht="19.5" customHeight="1" outlineLevel="1">
      <c r="A7" s="63"/>
      <c r="B7" s="65"/>
      <c r="C7" s="66"/>
      <c r="D7" s="75"/>
      <c r="E7" s="76" t="s">
        <v>24</v>
      </c>
      <c r="F7" s="78"/>
      <c r="G7" s="78"/>
      <c r="H7" s="78"/>
      <c r="I7" s="78"/>
      <c r="J7" s="78"/>
      <c r="K7" s="78">
        <f t="shared" ref="K7:M7" si="7">500*6</f>
        <v>3000</v>
      </c>
      <c r="L7" s="78">
        <f t="shared" si="7"/>
        <v>3000</v>
      </c>
      <c r="M7" s="78">
        <f t="shared" si="7"/>
        <v>3000</v>
      </c>
      <c r="N7" s="78">
        <f t="shared" ref="N7:P7" si="8">600*6</f>
        <v>3600</v>
      </c>
      <c r="O7" s="78">
        <f t="shared" si="8"/>
        <v>3600</v>
      </c>
      <c r="P7" s="78">
        <f t="shared" si="8"/>
        <v>3600</v>
      </c>
      <c r="Q7" s="78">
        <f>700*6</f>
        <v>4200</v>
      </c>
      <c r="R7" s="79">
        <f t="shared" si="2"/>
        <v>24000</v>
      </c>
      <c r="S7" s="79">
        <f t="shared" si="3"/>
        <v>3428.571429</v>
      </c>
      <c r="T7" s="81"/>
    </row>
    <row r="8" ht="19.5" customHeight="1">
      <c r="A8" s="63"/>
      <c r="B8" s="65"/>
      <c r="C8" s="66"/>
      <c r="D8" s="94"/>
      <c r="E8" s="96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101"/>
      <c r="S8" s="101"/>
      <c r="T8" s="103"/>
    </row>
    <row r="9" ht="19.5" hidden="1" customHeight="1">
      <c r="A9" s="63"/>
      <c r="B9" s="65"/>
      <c r="C9" s="66"/>
      <c r="D9" s="104"/>
      <c r="E9" s="106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10"/>
      <c r="S9" s="110"/>
      <c r="T9" s="112"/>
    </row>
    <row r="10" ht="38.25" customHeight="1">
      <c r="A10" s="63"/>
      <c r="B10" s="64" t="s">
        <v>27</v>
      </c>
      <c r="C10" s="66"/>
      <c r="D10" s="113"/>
      <c r="E10" s="111" t="s">
        <v>10</v>
      </c>
      <c r="F10" s="114">
        <f t="shared" ref="F10:Q10" si="9">sum(F11:F16)</f>
        <v>0</v>
      </c>
      <c r="G10" s="114">
        <f t="shared" si="9"/>
        <v>0</v>
      </c>
      <c r="H10" s="114">
        <f t="shared" si="9"/>
        <v>0</v>
      </c>
      <c r="I10" s="114">
        <f t="shared" si="9"/>
        <v>0</v>
      </c>
      <c r="J10" s="114">
        <f t="shared" si="9"/>
        <v>0</v>
      </c>
      <c r="K10" s="114">
        <f t="shared" si="9"/>
        <v>0</v>
      </c>
      <c r="L10" s="114">
        <f t="shared" si="9"/>
        <v>0</v>
      </c>
      <c r="M10" s="114">
        <f t="shared" si="9"/>
        <v>0</v>
      </c>
      <c r="N10" s="114">
        <f t="shared" si="9"/>
        <v>0</v>
      </c>
      <c r="O10" s="114">
        <f t="shared" si="9"/>
        <v>0</v>
      </c>
      <c r="P10" s="114">
        <f t="shared" si="9"/>
        <v>0</v>
      </c>
      <c r="Q10" s="114">
        <f t="shared" si="9"/>
        <v>0</v>
      </c>
      <c r="R10" s="115">
        <f t="shared" ref="R10:R15" si="10">sum(F10:Q10)</f>
        <v>0</v>
      </c>
      <c r="S10" s="114">
        <f>iferror(average(F10:Q10),"")</f>
        <v>0</v>
      </c>
      <c r="T10" s="116"/>
    </row>
    <row r="11" ht="19.5" customHeight="1" outlineLevel="1">
      <c r="A11" s="63"/>
      <c r="B11" s="65"/>
      <c r="C11" s="66"/>
      <c r="D11" s="68"/>
      <c r="E11" s="70" t="s">
        <v>28</v>
      </c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3">
        <f t="shared" si="10"/>
        <v>0</v>
      </c>
      <c r="S11" s="73" t="str">
        <f t="shared" ref="S11:S15" si="11">iferror(average(F11:Q11), "$0")</f>
        <v>$0</v>
      </c>
      <c r="T11" s="74"/>
    </row>
    <row r="12" ht="19.5" customHeight="1" outlineLevel="1">
      <c r="A12" s="63"/>
      <c r="B12" s="65"/>
      <c r="C12" s="66"/>
      <c r="D12" s="75"/>
      <c r="E12" s="76" t="s">
        <v>30</v>
      </c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9">
        <f t="shared" si="10"/>
        <v>0</v>
      </c>
      <c r="S12" s="79" t="str">
        <f t="shared" si="11"/>
        <v>$0</v>
      </c>
      <c r="T12" s="81"/>
    </row>
    <row r="13" ht="19.5" customHeight="1" outlineLevel="1">
      <c r="A13" s="63"/>
      <c r="B13" s="65"/>
      <c r="C13" s="66"/>
      <c r="D13" s="75"/>
      <c r="E13" s="76" t="s">
        <v>31</v>
      </c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9">
        <f t="shared" si="10"/>
        <v>0</v>
      </c>
      <c r="S13" s="79" t="str">
        <f t="shared" si="11"/>
        <v>$0</v>
      </c>
      <c r="T13" s="81"/>
    </row>
    <row r="14" ht="19.5" customHeight="1" outlineLevel="1">
      <c r="A14" s="63"/>
      <c r="B14" s="65"/>
      <c r="C14" s="66"/>
      <c r="D14" s="75"/>
      <c r="E14" s="118" t="s">
        <v>32</v>
      </c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9">
        <f t="shared" si="10"/>
        <v>0</v>
      </c>
      <c r="S14" s="79" t="str">
        <f t="shared" si="11"/>
        <v>$0</v>
      </c>
      <c r="T14" s="81"/>
    </row>
    <row r="15" ht="19.5" customHeight="1" outlineLevel="1">
      <c r="A15" s="63"/>
      <c r="B15" s="65"/>
      <c r="C15" s="66"/>
      <c r="D15" s="75"/>
      <c r="E15" s="118" t="s">
        <v>27</v>
      </c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9">
        <f t="shared" si="10"/>
        <v>0</v>
      </c>
      <c r="S15" s="79" t="str">
        <f t="shared" si="11"/>
        <v>$0</v>
      </c>
      <c r="T15" s="81"/>
    </row>
    <row r="16" ht="19.5" customHeight="1">
      <c r="A16" s="63"/>
      <c r="B16" s="65"/>
      <c r="C16" s="66"/>
      <c r="D16" s="119"/>
      <c r="E16" s="120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2"/>
      <c r="S16" s="123"/>
      <c r="T16" s="124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.25"/>
    <col customWidth="1" min="2" max="2" width="18.88"/>
    <col customWidth="1" min="3" max="4" width="2.0"/>
    <col customWidth="1" min="5" max="5" width="25.38"/>
    <col customWidth="1" min="6" max="17" width="9.63"/>
    <col customWidth="1" min="18" max="18" width="14.25"/>
    <col customWidth="1" min="19" max="19" width="11.38"/>
    <col customWidth="1" min="20" max="20" width="5.13"/>
  </cols>
  <sheetData>
    <row r="1" ht="38.25" customHeight="1">
      <c r="A1" s="3"/>
      <c r="B1" s="6"/>
      <c r="C1" s="8"/>
      <c r="D1" s="1"/>
      <c r="E1" s="4" t="s">
        <v>2</v>
      </c>
      <c r="F1" s="9">
        <v>42370.0</v>
      </c>
      <c r="G1" s="9">
        <v>42401.0</v>
      </c>
      <c r="H1" s="9">
        <v>42430.0</v>
      </c>
      <c r="I1" s="9">
        <v>42461.0</v>
      </c>
      <c r="J1" s="9">
        <v>42491.0</v>
      </c>
      <c r="K1" s="9">
        <v>42522.0</v>
      </c>
      <c r="L1" s="9">
        <v>42552.0</v>
      </c>
      <c r="M1" s="9">
        <v>42583.0</v>
      </c>
      <c r="N1" s="9">
        <v>42614.0</v>
      </c>
      <c r="O1" s="9">
        <v>42644.0</v>
      </c>
      <c r="P1" s="9">
        <v>42675.0</v>
      </c>
      <c r="Q1" s="9">
        <v>42705.0</v>
      </c>
      <c r="R1" s="19" t="s">
        <v>3</v>
      </c>
      <c r="S1" s="18" t="s">
        <v>4</v>
      </c>
      <c r="T1" s="21"/>
    </row>
    <row r="2" ht="38.25" customHeight="1">
      <c r="A2" s="26"/>
      <c r="B2" s="27" t="s">
        <v>8</v>
      </c>
      <c r="C2" s="30"/>
      <c r="D2" s="32"/>
      <c r="E2" s="34" t="s">
        <v>10</v>
      </c>
      <c r="F2" s="59">
        <f t="shared" ref="F2:Q2" si="1">sum(F3:F6)</f>
        <v>0</v>
      </c>
      <c r="G2" s="59">
        <f t="shared" si="1"/>
        <v>0</v>
      </c>
      <c r="H2" s="59">
        <f t="shared" si="1"/>
        <v>0</v>
      </c>
      <c r="I2" s="59">
        <f t="shared" si="1"/>
        <v>29600</v>
      </c>
      <c r="J2" s="59">
        <f t="shared" si="1"/>
        <v>7500</v>
      </c>
      <c r="K2" s="59">
        <f t="shared" si="1"/>
        <v>32400</v>
      </c>
      <c r="L2" s="59">
        <f t="shared" si="1"/>
        <v>0</v>
      </c>
      <c r="M2" s="59">
        <f t="shared" si="1"/>
        <v>13250</v>
      </c>
      <c r="N2" s="59">
        <f t="shared" si="1"/>
        <v>36600</v>
      </c>
      <c r="O2" s="59">
        <f t="shared" si="1"/>
        <v>0</v>
      </c>
      <c r="P2" s="59">
        <f t="shared" si="1"/>
        <v>0</v>
      </c>
      <c r="Q2" s="59">
        <f t="shared" si="1"/>
        <v>40800</v>
      </c>
      <c r="R2" s="60">
        <v>0.0</v>
      </c>
      <c r="S2" s="59">
        <f>iferror(average(F2:Q2),"")</f>
        <v>13345.83333</v>
      </c>
      <c r="T2" s="61"/>
    </row>
    <row r="3" ht="19.5" customHeight="1" outlineLevel="1">
      <c r="A3" s="62"/>
      <c r="B3" s="64"/>
      <c r="C3" s="66"/>
      <c r="D3" s="67"/>
      <c r="E3" s="69" t="s">
        <v>18</v>
      </c>
      <c r="F3" s="71"/>
      <c r="G3" s="71"/>
      <c r="H3" s="71"/>
      <c r="I3" s="71">
        <f> (9500*2.8)+500*6</f>
        <v>29600</v>
      </c>
      <c r="J3" s="71"/>
      <c r="K3" s="71">
        <f> (10500*2.8)+500*6</f>
        <v>32400</v>
      </c>
      <c r="L3" s="77"/>
      <c r="M3" s="77"/>
      <c r="N3" s="80">
        <f> (12000*2.8)+500*6</f>
        <v>36600</v>
      </c>
      <c r="O3" s="80"/>
      <c r="P3" s="80"/>
      <c r="Q3" s="80">
        <f> (13500*2.8)+500*6</f>
        <v>40800</v>
      </c>
      <c r="R3" s="82">
        <f t="shared" ref="R3:R5" si="2">sum(F3:Q3)</f>
        <v>139400</v>
      </c>
      <c r="S3" s="82">
        <f t="shared" ref="S3:S5" si="3">iferror(average(F3:Q3), "$0")</f>
        <v>34850</v>
      </c>
      <c r="T3" s="83"/>
    </row>
    <row r="4" ht="19.5" customHeight="1" outlineLevel="1">
      <c r="A4" s="62"/>
      <c r="B4" s="64"/>
      <c r="C4" s="66"/>
      <c r="D4" s="84"/>
      <c r="E4" s="85" t="s">
        <v>23</v>
      </c>
      <c r="F4" s="86"/>
      <c r="G4" s="86"/>
      <c r="H4" s="71"/>
      <c r="I4" s="86"/>
      <c r="J4" s="86">
        <f> (2000*3.5)+500*1</f>
        <v>7500</v>
      </c>
      <c r="K4" s="86"/>
      <c r="L4" s="87"/>
      <c r="M4" s="87">
        <f> (3500*3.5)+500*2</f>
        <v>13250</v>
      </c>
      <c r="N4" s="88"/>
      <c r="O4" s="88"/>
      <c r="P4" s="87"/>
      <c r="Q4" s="87"/>
      <c r="R4" s="89">
        <f t="shared" si="2"/>
        <v>20750</v>
      </c>
      <c r="S4" s="89">
        <f t="shared" si="3"/>
        <v>10375</v>
      </c>
      <c r="T4" s="90"/>
    </row>
    <row r="5" ht="19.5" customHeight="1" outlineLevel="1">
      <c r="A5" s="62"/>
      <c r="B5" s="64"/>
      <c r="C5" s="66"/>
      <c r="D5" s="91"/>
      <c r="E5" s="85" t="s">
        <v>25</v>
      </c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9">
        <f t="shared" si="2"/>
        <v>0</v>
      </c>
      <c r="S5" s="89" t="str">
        <f t="shared" si="3"/>
        <v>$0</v>
      </c>
      <c r="T5" s="90"/>
    </row>
    <row r="6" ht="19.5" customHeight="1">
      <c r="A6" s="62"/>
      <c r="B6" s="64"/>
      <c r="C6" s="66"/>
      <c r="D6" s="92"/>
      <c r="E6" s="93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7"/>
      <c r="S6" s="97"/>
      <c r="T6" s="99"/>
    </row>
    <row r="7" ht="19.5" hidden="1" customHeight="1">
      <c r="A7" s="62"/>
      <c r="B7" s="64"/>
      <c r="C7" s="66"/>
      <c r="D7" s="100"/>
      <c r="E7" s="102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105"/>
      <c r="S7" s="105"/>
      <c r="T7" s="107"/>
    </row>
    <row r="8" ht="38.25" customHeight="1">
      <c r="A8" s="62"/>
      <c r="B8" s="64" t="s">
        <v>26</v>
      </c>
      <c r="C8" s="66"/>
      <c r="D8" s="109"/>
      <c r="E8" s="111" t="s">
        <v>10</v>
      </c>
      <c r="F8" s="114">
        <f t="shared" ref="F8:Q8" si="4">sum(F9:F14)</f>
        <v>0</v>
      </c>
      <c r="G8" s="114">
        <f t="shared" si="4"/>
        <v>0</v>
      </c>
      <c r="H8" s="114">
        <f t="shared" si="4"/>
        <v>0</v>
      </c>
      <c r="I8" s="114">
        <f t="shared" si="4"/>
        <v>2000</v>
      </c>
      <c r="J8" s="114">
        <f t="shared" si="4"/>
        <v>5760</v>
      </c>
      <c r="K8" s="114">
        <f t="shared" si="4"/>
        <v>6960</v>
      </c>
      <c r="L8" s="114">
        <f t="shared" si="4"/>
        <v>7728</v>
      </c>
      <c r="M8" s="114">
        <f t="shared" si="4"/>
        <v>7728</v>
      </c>
      <c r="N8" s="114">
        <f t="shared" si="4"/>
        <v>7968</v>
      </c>
      <c r="O8" s="114">
        <f t="shared" si="4"/>
        <v>8736</v>
      </c>
      <c r="P8" s="114">
        <f t="shared" si="4"/>
        <v>8736</v>
      </c>
      <c r="Q8" s="114">
        <f t="shared" si="4"/>
        <v>8976</v>
      </c>
      <c r="R8" s="115">
        <f t="shared" ref="R8:R13" si="5">sum(F8:Q8)</f>
        <v>64592</v>
      </c>
      <c r="S8" s="114">
        <f>iferror(average(F8:Q8),"")</f>
        <v>5382.666667</v>
      </c>
      <c r="T8" s="117"/>
    </row>
    <row r="9" ht="19.5" customHeight="1" outlineLevel="1">
      <c r="A9" s="62"/>
      <c r="B9" s="64"/>
      <c r="C9" s="66"/>
      <c r="D9" s="67"/>
      <c r="E9" s="69" t="s">
        <v>29</v>
      </c>
      <c r="F9" s="71"/>
      <c r="G9" s="71"/>
      <c r="H9" s="71"/>
      <c r="I9" s="71">
        <f>sum(Income!I6:I7)*12%</f>
        <v>600</v>
      </c>
      <c r="J9" s="71">
        <f>sum(Income!J6:J7)*12%</f>
        <v>1728</v>
      </c>
      <c r="K9" s="71">
        <f>sum(Income!K6:K7)*12%</f>
        <v>2088</v>
      </c>
      <c r="L9" s="71">
        <f>sum(Income!L6:L7)*12%</f>
        <v>2318.4</v>
      </c>
      <c r="M9" s="71">
        <f>sum(Income!M6:M7)*12%</f>
        <v>2318.4</v>
      </c>
      <c r="N9" s="71">
        <f>sum(Income!N6:N7)*12%</f>
        <v>2390.4</v>
      </c>
      <c r="O9" s="71">
        <f>sum(Income!O6:O7)*12%</f>
        <v>2620.8</v>
      </c>
      <c r="P9" s="71">
        <f>sum(Income!P6:P7)*12%</f>
        <v>2620.8</v>
      </c>
      <c r="Q9" s="71">
        <f>sum(Income!Q6:Q7)*12%</f>
        <v>2692.8</v>
      </c>
      <c r="R9" s="82">
        <f t="shared" si="5"/>
        <v>19377.6</v>
      </c>
      <c r="S9" s="82">
        <f t="shared" ref="S9:S13" si="6">iferror(average(F9:Q9), "$0")</f>
        <v>2153.066667</v>
      </c>
      <c r="T9" s="83"/>
    </row>
    <row r="10" ht="19.5" customHeight="1" outlineLevel="1">
      <c r="A10" s="62"/>
      <c r="B10" s="64"/>
      <c r="C10" s="66"/>
      <c r="D10" s="84"/>
      <c r="E10" s="85" t="s">
        <v>33</v>
      </c>
      <c r="F10" s="86"/>
      <c r="G10" s="86"/>
      <c r="H10" s="86"/>
      <c r="I10" s="86">
        <f>sum(Income!I6:I7)*28%</f>
        <v>1400</v>
      </c>
      <c r="J10" s="86">
        <f>sum(Income!J6:J7)*28%</f>
        <v>4032</v>
      </c>
      <c r="K10" s="86">
        <f>sum(Income!K6:K7)*28%</f>
        <v>4872</v>
      </c>
      <c r="L10" s="86">
        <f>sum(Income!L6:L7)*28%</f>
        <v>5409.6</v>
      </c>
      <c r="M10" s="86">
        <f>sum(Income!M6:M7)*28%</f>
        <v>5409.6</v>
      </c>
      <c r="N10" s="86">
        <f>sum(Income!N6:N7)*28%</f>
        <v>5577.6</v>
      </c>
      <c r="O10" s="86">
        <f>sum(Income!O6:O7)*28%</f>
        <v>6115.2</v>
      </c>
      <c r="P10" s="86">
        <f>sum(Income!P6:P7)*28%</f>
        <v>6115.2</v>
      </c>
      <c r="Q10" s="86">
        <f>sum(Income!Q6:Q7)*28%</f>
        <v>6283.2</v>
      </c>
      <c r="R10" s="89">
        <f t="shared" si="5"/>
        <v>45214.4</v>
      </c>
      <c r="S10" s="89">
        <f t="shared" si="6"/>
        <v>5023.822222</v>
      </c>
      <c r="T10" s="90"/>
    </row>
    <row r="11" ht="19.5" customHeight="1" outlineLevel="1">
      <c r="A11" s="62"/>
      <c r="B11" s="64"/>
      <c r="C11" s="66"/>
      <c r="D11" s="91"/>
      <c r="E11" s="85" t="s">
        <v>34</v>
      </c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9">
        <f t="shared" si="5"/>
        <v>0</v>
      </c>
      <c r="S11" s="89" t="str">
        <f t="shared" si="6"/>
        <v>$0</v>
      </c>
      <c r="T11" s="90"/>
    </row>
    <row r="12" ht="19.5" customHeight="1" outlineLevel="1">
      <c r="A12" s="62"/>
      <c r="B12" s="64"/>
      <c r="C12" s="66"/>
      <c r="D12" s="84"/>
      <c r="E12" s="85" t="s">
        <v>35</v>
      </c>
      <c r="F12" s="86"/>
      <c r="G12" s="86"/>
      <c r="H12" s="86"/>
      <c r="I12" s="86"/>
      <c r="J12" s="86"/>
      <c r="K12" s="86"/>
      <c r="L12" s="87"/>
      <c r="M12" s="87"/>
      <c r="N12" s="88"/>
      <c r="O12" s="88"/>
      <c r="P12" s="88"/>
      <c r="Q12" s="88"/>
      <c r="R12" s="89">
        <f t="shared" si="5"/>
        <v>0</v>
      </c>
      <c r="S12" s="89" t="str">
        <f t="shared" si="6"/>
        <v>$0</v>
      </c>
      <c r="T12" s="90"/>
    </row>
    <row r="13" ht="19.5" customHeight="1" outlineLevel="1">
      <c r="A13" s="62"/>
      <c r="B13" s="64"/>
      <c r="C13" s="66"/>
      <c r="D13" s="91"/>
      <c r="E13" s="85" t="s">
        <v>36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9">
        <f t="shared" si="5"/>
        <v>0</v>
      </c>
      <c r="S13" s="89" t="str">
        <f t="shared" si="6"/>
        <v>$0</v>
      </c>
      <c r="T13" s="90"/>
    </row>
    <row r="14" ht="19.5" customHeight="1">
      <c r="A14" s="62"/>
      <c r="B14" s="64"/>
      <c r="C14" s="66"/>
      <c r="D14" s="125"/>
      <c r="E14" s="102"/>
      <c r="F14" s="95"/>
      <c r="G14" s="95"/>
      <c r="H14" s="95"/>
      <c r="I14" s="95"/>
      <c r="J14" s="95"/>
      <c r="K14" s="95"/>
      <c r="L14" s="126"/>
      <c r="M14" s="126"/>
      <c r="N14" s="127"/>
      <c r="O14" s="127"/>
      <c r="P14" s="127"/>
      <c r="Q14" s="127"/>
      <c r="R14" s="97"/>
      <c r="S14" s="97"/>
      <c r="T14" s="99"/>
    </row>
    <row r="15" ht="19.5" hidden="1" customHeight="1">
      <c r="A15" s="62"/>
      <c r="B15" s="64"/>
      <c r="C15" s="66"/>
      <c r="D15" s="100"/>
      <c r="E15" s="128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105"/>
      <c r="S15" s="105"/>
      <c r="T15" s="107"/>
    </row>
    <row r="16" ht="38.25" customHeight="1">
      <c r="A16" s="62"/>
      <c r="B16" s="64" t="s">
        <v>37</v>
      </c>
      <c r="C16" s="66"/>
      <c r="D16" s="109"/>
      <c r="E16" s="111" t="s">
        <v>10</v>
      </c>
      <c r="F16" s="114">
        <f t="shared" ref="F16:Q16" si="7">sum(F17:F25)</f>
        <v>0</v>
      </c>
      <c r="G16" s="114">
        <f t="shared" si="7"/>
        <v>0</v>
      </c>
      <c r="H16" s="114">
        <f t="shared" si="7"/>
        <v>0</v>
      </c>
      <c r="I16" s="114">
        <f t="shared" si="7"/>
        <v>0</v>
      </c>
      <c r="J16" s="114">
        <f t="shared" si="7"/>
        <v>0</v>
      </c>
      <c r="K16" s="114">
        <f t="shared" si="7"/>
        <v>0</v>
      </c>
      <c r="L16" s="114">
        <f t="shared" si="7"/>
        <v>0</v>
      </c>
      <c r="M16" s="114">
        <f t="shared" si="7"/>
        <v>0</v>
      </c>
      <c r="N16" s="114">
        <f t="shared" si="7"/>
        <v>0</v>
      </c>
      <c r="O16" s="114">
        <f t="shared" si="7"/>
        <v>0</v>
      </c>
      <c r="P16" s="114">
        <f t="shared" si="7"/>
        <v>0</v>
      </c>
      <c r="Q16" s="114">
        <f t="shared" si="7"/>
        <v>0</v>
      </c>
      <c r="R16" s="115">
        <f t="shared" ref="R16:R24" si="8">sum(F16:Q16)</f>
        <v>0</v>
      </c>
      <c r="S16" s="114">
        <f>iferror(average(F16:Q16),"")</f>
        <v>0</v>
      </c>
      <c r="T16" s="129"/>
    </row>
    <row r="17" ht="19.5" customHeight="1" outlineLevel="1">
      <c r="A17" s="62"/>
      <c r="B17" s="64"/>
      <c r="C17" s="66"/>
      <c r="D17" s="67"/>
      <c r="E17" s="69" t="s">
        <v>38</v>
      </c>
      <c r="F17" s="71"/>
      <c r="G17" s="71"/>
      <c r="H17" s="71"/>
      <c r="I17" s="71"/>
      <c r="J17" s="71"/>
      <c r="K17" s="71"/>
      <c r="L17" s="77"/>
      <c r="M17" s="77"/>
      <c r="N17" s="80"/>
      <c r="O17" s="80"/>
      <c r="P17" s="80"/>
      <c r="Q17" s="80"/>
      <c r="R17" s="82">
        <f t="shared" si="8"/>
        <v>0</v>
      </c>
      <c r="S17" s="82" t="str">
        <f t="shared" ref="S17:S24" si="9">iferror(average(F17:Q17), "$0")</f>
        <v>$0</v>
      </c>
      <c r="T17" s="83"/>
    </row>
    <row r="18" ht="19.5" customHeight="1" outlineLevel="1">
      <c r="A18" s="62"/>
      <c r="B18" s="64"/>
      <c r="C18" s="66"/>
      <c r="D18" s="84"/>
      <c r="E18" s="85" t="s">
        <v>39</v>
      </c>
      <c r="F18" s="86"/>
      <c r="G18" s="86"/>
      <c r="H18" s="86"/>
      <c r="I18" s="86"/>
      <c r="J18" s="86"/>
      <c r="K18" s="86"/>
      <c r="L18" s="87"/>
      <c r="M18" s="87"/>
      <c r="N18" s="88"/>
      <c r="O18" s="88"/>
      <c r="P18" s="88"/>
      <c r="Q18" s="88"/>
      <c r="R18" s="89">
        <f t="shared" si="8"/>
        <v>0</v>
      </c>
      <c r="S18" s="89" t="str">
        <f t="shared" si="9"/>
        <v>$0</v>
      </c>
      <c r="T18" s="90"/>
    </row>
    <row r="19" ht="19.5" customHeight="1" outlineLevel="1">
      <c r="A19" s="62"/>
      <c r="B19" s="64"/>
      <c r="C19" s="66"/>
      <c r="D19" s="84"/>
      <c r="E19" s="85" t="s">
        <v>40</v>
      </c>
      <c r="F19" s="86"/>
      <c r="G19" s="86"/>
      <c r="H19" s="86"/>
      <c r="I19" s="86"/>
      <c r="J19" s="86"/>
      <c r="K19" s="86"/>
      <c r="L19" s="87"/>
      <c r="M19" s="87"/>
      <c r="N19" s="88"/>
      <c r="O19" s="88"/>
      <c r="P19" s="88"/>
      <c r="Q19" s="88"/>
      <c r="R19" s="89">
        <f t="shared" si="8"/>
        <v>0</v>
      </c>
      <c r="S19" s="89" t="str">
        <f t="shared" si="9"/>
        <v>$0</v>
      </c>
      <c r="T19" s="90"/>
    </row>
    <row r="20" ht="19.5" customHeight="1" outlineLevel="1">
      <c r="A20" s="62"/>
      <c r="B20" s="64"/>
      <c r="C20" s="66"/>
      <c r="D20" s="84"/>
      <c r="E20" s="85" t="s">
        <v>41</v>
      </c>
      <c r="F20" s="86"/>
      <c r="G20" s="86"/>
      <c r="H20" s="86"/>
      <c r="I20" s="86"/>
      <c r="J20" s="86"/>
      <c r="K20" s="86"/>
      <c r="L20" s="87"/>
      <c r="M20" s="87"/>
      <c r="N20" s="88"/>
      <c r="O20" s="88"/>
      <c r="P20" s="88"/>
      <c r="Q20" s="88"/>
      <c r="R20" s="89">
        <f t="shared" si="8"/>
        <v>0</v>
      </c>
      <c r="S20" s="89" t="str">
        <f t="shared" si="9"/>
        <v>$0</v>
      </c>
      <c r="T20" s="90"/>
    </row>
    <row r="21" ht="19.5" customHeight="1" outlineLevel="1">
      <c r="A21" s="62"/>
      <c r="B21" s="64"/>
      <c r="C21" s="66"/>
      <c r="D21" s="84"/>
      <c r="E21" s="85" t="s">
        <v>42</v>
      </c>
      <c r="F21" s="86"/>
      <c r="G21" s="86"/>
      <c r="H21" s="86"/>
      <c r="I21" s="86"/>
      <c r="J21" s="86"/>
      <c r="K21" s="86"/>
      <c r="L21" s="87"/>
      <c r="M21" s="88"/>
      <c r="N21" s="88"/>
      <c r="O21" s="88"/>
      <c r="P21" s="88"/>
      <c r="Q21" s="88"/>
      <c r="R21" s="89">
        <f t="shared" si="8"/>
        <v>0</v>
      </c>
      <c r="S21" s="89" t="str">
        <f t="shared" si="9"/>
        <v>$0</v>
      </c>
      <c r="T21" s="90"/>
    </row>
    <row r="22" ht="19.5" customHeight="1" outlineLevel="1">
      <c r="A22" s="62"/>
      <c r="B22" s="64"/>
      <c r="C22" s="66"/>
      <c r="D22" s="84"/>
      <c r="E22" s="85" t="s">
        <v>43</v>
      </c>
      <c r="F22" s="86"/>
      <c r="G22" s="86"/>
      <c r="H22" s="86"/>
      <c r="I22" s="86"/>
      <c r="J22" s="86"/>
      <c r="K22" s="86"/>
      <c r="L22" s="87"/>
      <c r="M22" s="87"/>
      <c r="N22" s="88"/>
      <c r="O22" s="88"/>
      <c r="P22" s="88"/>
      <c r="Q22" s="88"/>
      <c r="R22" s="89">
        <f t="shared" si="8"/>
        <v>0</v>
      </c>
      <c r="S22" s="89" t="str">
        <f t="shared" si="9"/>
        <v>$0</v>
      </c>
      <c r="T22" s="90"/>
    </row>
    <row r="23" ht="19.5" customHeight="1" outlineLevel="1">
      <c r="A23" s="62"/>
      <c r="B23" s="64"/>
      <c r="C23" s="66"/>
      <c r="D23" s="84"/>
      <c r="E23" s="85" t="s">
        <v>44</v>
      </c>
      <c r="F23" s="86"/>
      <c r="G23" s="86"/>
      <c r="H23" s="86"/>
      <c r="I23" s="86"/>
      <c r="J23" s="86"/>
      <c r="K23" s="86"/>
      <c r="L23" s="87"/>
      <c r="M23" s="87"/>
      <c r="N23" s="88"/>
      <c r="O23" s="88"/>
      <c r="P23" s="88"/>
      <c r="Q23" s="88"/>
      <c r="R23" s="89">
        <f t="shared" si="8"/>
        <v>0</v>
      </c>
      <c r="S23" s="89" t="str">
        <f t="shared" si="9"/>
        <v>$0</v>
      </c>
      <c r="T23" s="90"/>
    </row>
    <row r="24" ht="19.5" customHeight="1" outlineLevel="1">
      <c r="A24" s="62"/>
      <c r="B24" s="64"/>
      <c r="C24" s="66"/>
      <c r="D24" s="84"/>
      <c r="E24" s="85" t="s">
        <v>45</v>
      </c>
      <c r="F24" s="86"/>
      <c r="G24" s="86"/>
      <c r="H24" s="86"/>
      <c r="I24" s="86"/>
      <c r="J24" s="86"/>
      <c r="K24" s="86"/>
      <c r="L24" s="87"/>
      <c r="M24" s="87"/>
      <c r="N24" s="88"/>
      <c r="O24" s="88"/>
      <c r="P24" s="88"/>
      <c r="Q24" s="88"/>
      <c r="R24" s="89">
        <f t="shared" si="8"/>
        <v>0</v>
      </c>
      <c r="S24" s="89" t="str">
        <f t="shared" si="9"/>
        <v>$0</v>
      </c>
      <c r="T24" s="90"/>
    </row>
    <row r="25" ht="19.5" customHeight="1">
      <c r="A25" s="62"/>
      <c r="B25" s="64"/>
      <c r="C25" s="66"/>
      <c r="D25" s="125"/>
      <c r="E25" s="128"/>
      <c r="F25" s="95"/>
      <c r="G25" s="95"/>
      <c r="H25" s="95"/>
      <c r="I25" s="95"/>
      <c r="J25" s="95"/>
      <c r="K25" s="95"/>
      <c r="L25" s="126"/>
      <c r="M25" s="126"/>
      <c r="N25" s="127"/>
      <c r="O25" s="127"/>
      <c r="P25" s="127"/>
      <c r="Q25" s="127"/>
      <c r="R25" s="97"/>
      <c r="S25" s="97"/>
      <c r="T25" s="99"/>
    </row>
    <row r="26" ht="19.5" hidden="1" customHeight="1">
      <c r="A26" s="62"/>
      <c r="B26" s="64"/>
      <c r="C26" s="66"/>
      <c r="D26" s="100"/>
      <c r="E26" s="130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2"/>
      <c r="S26" s="132"/>
      <c r="T26" s="107"/>
    </row>
    <row r="27" ht="38.25" customHeight="1">
      <c r="A27" s="62"/>
      <c r="B27" s="64" t="s">
        <v>46</v>
      </c>
      <c r="C27" s="66"/>
      <c r="D27" s="113"/>
      <c r="E27" s="111" t="s">
        <v>10</v>
      </c>
      <c r="F27" s="114">
        <f t="shared" ref="F27:Q27" si="10">sum(F28:F34)</f>
        <v>0</v>
      </c>
      <c r="G27" s="114">
        <f t="shared" si="10"/>
        <v>0</v>
      </c>
      <c r="H27" s="114">
        <f t="shared" si="10"/>
        <v>0</v>
      </c>
      <c r="I27" s="114">
        <f t="shared" si="10"/>
        <v>0</v>
      </c>
      <c r="J27" s="114">
        <f t="shared" si="10"/>
        <v>0</v>
      </c>
      <c r="K27" s="114">
        <f t="shared" si="10"/>
        <v>0</v>
      </c>
      <c r="L27" s="114">
        <f t="shared" si="10"/>
        <v>0</v>
      </c>
      <c r="M27" s="114">
        <f t="shared" si="10"/>
        <v>0</v>
      </c>
      <c r="N27" s="114">
        <f t="shared" si="10"/>
        <v>0</v>
      </c>
      <c r="O27" s="114">
        <f t="shared" si="10"/>
        <v>0</v>
      </c>
      <c r="P27" s="114">
        <f t="shared" si="10"/>
        <v>0</v>
      </c>
      <c r="Q27" s="114">
        <f t="shared" si="10"/>
        <v>0</v>
      </c>
      <c r="R27" s="115">
        <f>sum(R28:R33)</f>
        <v>0</v>
      </c>
      <c r="S27" s="114">
        <f>iferror(average(F27:Q27),"")</f>
        <v>0</v>
      </c>
      <c r="T27" s="133"/>
    </row>
    <row r="28" ht="19.5" customHeight="1" outlineLevel="1">
      <c r="A28" s="62"/>
      <c r="B28" s="64"/>
      <c r="C28" s="66"/>
      <c r="D28" s="67"/>
      <c r="E28" s="69" t="s">
        <v>47</v>
      </c>
      <c r="F28" s="71"/>
      <c r="G28" s="71"/>
      <c r="H28" s="71"/>
      <c r="I28" s="71"/>
      <c r="J28" s="71"/>
      <c r="K28" s="71"/>
      <c r="L28" s="77"/>
      <c r="M28" s="77"/>
      <c r="N28" s="80"/>
      <c r="O28" s="80"/>
      <c r="P28" s="80"/>
      <c r="Q28" s="80"/>
      <c r="R28" s="82">
        <f t="shared" ref="R28:R33" si="11">sum(F28:Q28)</f>
        <v>0</v>
      </c>
      <c r="S28" s="82" t="str">
        <f t="shared" ref="S28:S33" si="12">iferror(average(F28:Q28), "$0")</f>
        <v>$0</v>
      </c>
      <c r="T28" s="83"/>
    </row>
    <row r="29" ht="19.5" customHeight="1" outlineLevel="1">
      <c r="A29" s="62"/>
      <c r="B29" s="64"/>
      <c r="C29" s="66"/>
      <c r="D29" s="84"/>
      <c r="E29" s="85" t="s">
        <v>48</v>
      </c>
      <c r="F29" s="86"/>
      <c r="G29" s="86"/>
      <c r="H29" s="86"/>
      <c r="I29" s="86"/>
      <c r="J29" s="86"/>
      <c r="K29" s="86"/>
      <c r="L29" s="87"/>
      <c r="M29" s="87"/>
      <c r="N29" s="88"/>
      <c r="O29" s="88"/>
      <c r="P29" s="88"/>
      <c r="Q29" s="88"/>
      <c r="R29" s="89">
        <f t="shared" si="11"/>
        <v>0</v>
      </c>
      <c r="S29" s="89" t="str">
        <f t="shared" si="12"/>
        <v>$0</v>
      </c>
      <c r="T29" s="90"/>
    </row>
    <row r="30" ht="19.5" customHeight="1" outlineLevel="1">
      <c r="A30" s="62"/>
      <c r="B30" s="64"/>
      <c r="C30" s="66"/>
      <c r="D30" s="84"/>
      <c r="E30" s="85" t="s">
        <v>49</v>
      </c>
      <c r="F30" s="86"/>
      <c r="G30" s="86"/>
      <c r="H30" s="86"/>
      <c r="I30" s="86"/>
      <c r="J30" s="86"/>
      <c r="K30" s="86"/>
      <c r="L30" s="87"/>
      <c r="M30" s="87"/>
      <c r="N30" s="88"/>
      <c r="O30" s="88"/>
      <c r="P30" s="88"/>
      <c r="Q30" s="88"/>
      <c r="R30" s="89">
        <f t="shared" si="11"/>
        <v>0</v>
      </c>
      <c r="S30" s="89" t="str">
        <f t="shared" si="12"/>
        <v>$0</v>
      </c>
      <c r="T30" s="90"/>
    </row>
    <row r="31" ht="19.5" customHeight="1" outlineLevel="1">
      <c r="A31" s="62"/>
      <c r="B31" s="64"/>
      <c r="C31" s="66"/>
      <c r="D31" s="84"/>
      <c r="E31" s="85" t="s">
        <v>50</v>
      </c>
      <c r="F31" s="86"/>
      <c r="G31" s="86"/>
      <c r="H31" s="86"/>
      <c r="I31" s="86"/>
      <c r="J31" s="86"/>
      <c r="K31" s="86"/>
      <c r="L31" s="87"/>
      <c r="M31" s="87"/>
      <c r="N31" s="88"/>
      <c r="O31" s="88"/>
      <c r="P31" s="88"/>
      <c r="Q31" s="88"/>
      <c r="R31" s="89">
        <f t="shared" si="11"/>
        <v>0</v>
      </c>
      <c r="S31" s="89" t="str">
        <f t="shared" si="12"/>
        <v>$0</v>
      </c>
      <c r="T31" s="90"/>
    </row>
    <row r="32" ht="19.5" customHeight="1" outlineLevel="1">
      <c r="A32" s="62"/>
      <c r="B32" s="64"/>
      <c r="C32" s="66"/>
      <c r="D32" s="84"/>
      <c r="E32" s="85" t="s">
        <v>51</v>
      </c>
      <c r="F32" s="86"/>
      <c r="G32" s="86"/>
      <c r="H32" s="86"/>
      <c r="I32" s="86"/>
      <c r="J32" s="86"/>
      <c r="K32" s="86"/>
      <c r="L32" s="87"/>
      <c r="M32" s="87"/>
      <c r="N32" s="88"/>
      <c r="O32" s="88"/>
      <c r="P32" s="88"/>
      <c r="Q32" s="88"/>
      <c r="R32" s="89">
        <f t="shared" si="11"/>
        <v>0</v>
      </c>
      <c r="S32" s="89" t="str">
        <f t="shared" si="12"/>
        <v>$0</v>
      </c>
      <c r="T32" s="90"/>
    </row>
    <row r="33" ht="19.5" customHeight="1" outlineLevel="1">
      <c r="A33" s="62"/>
      <c r="B33" s="64"/>
      <c r="C33" s="66"/>
      <c r="D33" s="84"/>
      <c r="E33" s="85" t="s">
        <v>52</v>
      </c>
      <c r="F33" s="86"/>
      <c r="G33" s="86"/>
      <c r="H33" s="86"/>
      <c r="I33" s="86"/>
      <c r="J33" s="86"/>
      <c r="K33" s="86"/>
      <c r="L33" s="87"/>
      <c r="M33" s="87"/>
      <c r="N33" s="88"/>
      <c r="O33" s="88"/>
      <c r="P33" s="88"/>
      <c r="Q33" s="88"/>
      <c r="R33" s="89">
        <f t="shared" si="11"/>
        <v>0</v>
      </c>
      <c r="S33" s="89" t="str">
        <f t="shared" si="12"/>
        <v>$0</v>
      </c>
      <c r="T33" s="90"/>
    </row>
    <row r="34" ht="19.5" customHeight="1">
      <c r="A34" s="62"/>
      <c r="B34" s="64"/>
      <c r="C34" s="66"/>
      <c r="D34" s="84"/>
      <c r="E34" s="102"/>
      <c r="F34" s="95"/>
      <c r="G34" s="95"/>
      <c r="H34" s="95"/>
      <c r="I34" s="95"/>
      <c r="J34" s="95"/>
      <c r="K34" s="95"/>
      <c r="L34" s="126"/>
      <c r="M34" s="126"/>
      <c r="N34" s="127"/>
      <c r="O34" s="127"/>
      <c r="P34" s="127"/>
      <c r="Q34" s="127"/>
      <c r="R34" s="97"/>
      <c r="S34" s="97"/>
      <c r="T34" s="134"/>
    </row>
    <row r="35" ht="19.5" hidden="1" customHeight="1">
      <c r="A35" s="62"/>
      <c r="B35" s="64"/>
      <c r="C35" s="66"/>
      <c r="D35" s="135"/>
      <c r="E35" s="136"/>
      <c r="F35" s="137"/>
      <c r="G35" s="137"/>
      <c r="H35" s="137"/>
      <c r="I35" s="137"/>
      <c r="J35" s="137"/>
      <c r="K35" s="137"/>
      <c r="L35" s="138"/>
      <c r="M35" s="138"/>
      <c r="N35" s="139"/>
      <c r="O35" s="139"/>
      <c r="P35" s="139"/>
      <c r="Q35" s="139"/>
      <c r="R35" s="140"/>
      <c r="S35" s="140"/>
      <c r="T35" s="141"/>
    </row>
    <row r="36" ht="38.25" customHeight="1">
      <c r="A36" s="62"/>
      <c r="B36" s="64" t="s">
        <v>53</v>
      </c>
      <c r="C36" s="66"/>
      <c r="D36" s="142"/>
      <c r="E36" s="143" t="s">
        <v>10</v>
      </c>
      <c r="F36" s="144">
        <f t="shared" ref="F36:Q36" si="13">sum(F37:F43)</f>
        <v>0</v>
      </c>
      <c r="G36" s="144">
        <f t="shared" si="13"/>
        <v>0</v>
      </c>
      <c r="H36" s="144">
        <f t="shared" si="13"/>
        <v>0</v>
      </c>
      <c r="I36" s="144">
        <f t="shared" si="13"/>
        <v>0</v>
      </c>
      <c r="J36" s="144">
        <f t="shared" si="13"/>
        <v>0</v>
      </c>
      <c r="K36" s="144">
        <f t="shared" si="13"/>
        <v>0</v>
      </c>
      <c r="L36" s="144">
        <f t="shared" si="13"/>
        <v>0</v>
      </c>
      <c r="M36" s="144">
        <f t="shared" si="13"/>
        <v>0</v>
      </c>
      <c r="N36" s="144">
        <f t="shared" si="13"/>
        <v>0</v>
      </c>
      <c r="O36" s="144">
        <f t="shared" si="13"/>
        <v>0</v>
      </c>
      <c r="P36" s="144">
        <f t="shared" si="13"/>
        <v>0</v>
      </c>
      <c r="Q36" s="144">
        <f t="shared" si="13"/>
        <v>0</v>
      </c>
      <c r="R36" s="145">
        <f t="shared" ref="R36:R42" si="14">sum(F36:Q36)</f>
        <v>0</v>
      </c>
      <c r="S36" s="146">
        <f>iferror(average(F36:Q36),"")</f>
        <v>0</v>
      </c>
      <c r="T36" s="147"/>
    </row>
    <row r="37" ht="19.5" customHeight="1" outlineLevel="1">
      <c r="A37" s="62"/>
      <c r="B37" s="64"/>
      <c r="C37" s="66"/>
      <c r="D37" s="67"/>
      <c r="E37" s="148" t="s">
        <v>54</v>
      </c>
      <c r="F37" s="71"/>
      <c r="G37" s="71"/>
      <c r="H37" s="71"/>
      <c r="I37" s="71"/>
      <c r="J37" s="71"/>
      <c r="K37" s="71"/>
      <c r="L37" s="77"/>
      <c r="M37" s="77"/>
      <c r="N37" s="80"/>
      <c r="O37" s="80"/>
      <c r="P37" s="80"/>
      <c r="Q37" s="80"/>
      <c r="R37" s="82">
        <f t="shared" si="14"/>
        <v>0</v>
      </c>
      <c r="S37" s="82" t="str">
        <f t="shared" ref="S37:S42" si="15">iferror(average(F37:Q37), "$0")</f>
        <v>$0</v>
      </c>
      <c r="T37" s="83"/>
    </row>
    <row r="38" ht="19.5" customHeight="1" outlineLevel="1">
      <c r="A38" s="62"/>
      <c r="B38" s="64"/>
      <c r="C38" s="66"/>
      <c r="D38" s="84"/>
      <c r="E38" s="149" t="s">
        <v>55</v>
      </c>
      <c r="F38" s="86"/>
      <c r="G38" s="86"/>
      <c r="H38" s="86"/>
      <c r="I38" s="86"/>
      <c r="J38" s="86"/>
      <c r="K38" s="86"/>
      <c r="L38" s="87"/>
      <c r="M38" s="87"/>
      <c r="N38" s="88"/>
      <c r="O38" s="88"/>
      <c r="P38" s="88"/>
      <c r="Q38" s="88"/>
      <c r="R38" s="89">
        <f t="shared" si="14"/>
        <v>0</v>
      </c>
      <c r="S38" s="89" t="str">
        <f t="shared" si="15"/>
        <v>$0</v>
      </c>
      <c r="T38" s="90"/>
    </row>
    <row r="39" ht="19.5" customHeight="1" outlineLevel="1">
      <c r="A39" s="62"/>
      <c r="B39" s="64"/>
      <c r="C39" s="66"/>
      <c r="D39" s="84"/>
      <c r="E39" s="85" t="s">
        <v>56</v>
      </c>
      <c r="F39" s="86"/>
      <c r="G39" s="86"/>
      <c r="H39" s="86"/>
      <c r="I39" s="86"/>
      <c r="J39" s="86"/>
      <c r="K39" s="86"/>
      <c r="L39" s="87"/>
      <c r="M39" s="87"/>
      <c r="N39" s="88"/>
      <c r="O39" s="88"/>
      <c r="P39" s="88"/>
      <c r="Q39" s="88"/>
      <c r="R39" s="89">
        <f t="shared" si="14"/>
        <v>0</v>
      </c>
      <c r="S39" s="89" t="str">
        <f t="shared" si="15"/>
        <v>$0</v>
      </c>
      <c r="T39" s="90"/>
    </row>
    <row r="40" ht="19.5" customHeight="1" outlineLevel="1">
      <c r="A40" s="62"/>
      <c r="B40" s="64"/>
      <c r="C40" s="66"/>
      <c r="D40" s="84"/>
      <c r="E40" s="149" t="s">
        <v>57</v>
      </c>
      <c r="F40" s="86"/>
      <c r="G40" s="86"/>
      <c r="H40" s="86"/>
      <c r="I40" s="86"/>
      <c r="J40" s="86"/>
      <c r="K40" s="86"/>
      <c r="L40" s="87"/>
      <c r="M40" s="87"/>
      <c r="N40" s="88"/>
      <c r="O40" s="88"/>
      <c r="P40" s="88"/>
      <c r="Q40" s="88"/>
      <c r="R40" s="89">
        <f t="shared" si="14"/>
        <v>0</v>
      </c>
      <c r="S40" s="89" t="str">
        <f t="shared" si="15"/>
        <v>$0</v>
      </c>
      <c r="T40" s="90"/>
    </row>
    <row r="41" ht="19.5" customHeight="1" outlineLevel="1">
      <c r="A41" s="62"/>
      <c r="B41" s="64"/>
      <c r="C41" s="66"/>
      <c r="D41" s="84"/>
      <c r="E41" s="149" t="s">
        <v>58</v>
      </c>
      <c r="F41" s="86"/>
      <c r="G41" s="86"/>
      <c r="H41" s="86"/>
      <c r="I41" s="86"/>
      <c r="J41" s="86"/>
      <c r="K41" s="86"/>
      <c r="L41" s="87"/>
      <c r="M41" s="87"/>
      <c r="N41" s="88"/>
      <c r="O41" s="88"/>
      <c r="P41" s="88"/>
      <c r="Q41" s="88"/>
      <c r="R41" s="89">
        <f t="shared" si="14"/>
        <v>0</v>
      </c>
      <c r="S41" s="89" t="str">
        <f t="shared" si="15"/>
        <v>$0</v>
      </c>
      <c r="T41" s="90"/>
    </row>
    <row r="42" ht="19.5" customHeight="1" outlineLevel="1">
      <c r="A42" s="62"/>
      <c r="B42" s="64"/>
      <c r="C42" s="66"/>
      <c r="D42" s="84"/>
      <c r="E42" s="149" t="s">
        <v>27</v>
      </c>
      <c r="F42" s="86"/>
      <c r="G42" s="86"/>
      <c r="H42" s="86"/>
      <c r="I42" s="86"/>
      <c r="J42" s="86"/>
      <c r="K42" s="86"/>
      <c r="L42" s="87"/>
      <c r="M42" s="87"/>
      <c r="N42" s="88"/>
      <c r="O42" s="88"/>
      <c r="P42" s="88"/>
      <c r="Q42" s="88"/>
      <c r="R42" s="89">
        <f t="shared" si="14"/>
        <v>0</v>
      </c>
      <c r="S42" s="89" t="str">
        <f t="shared" si="15"/>
        <v>$0</v>
      </c>
      <c r="T42" s="90"/>
    </row>
    <row r="43" ht="19.5" customHeight="1">
      <c r="A43" s="62"/>
      <c r="B43" s="64"/>
      <c r="C43" s="66"/>
      <c r="D43" s="84"/>
      <c r="E43" s="128"/>
      <c r="F43" s="95"/>
      <c r="G43" s="95"/>
      <c r="H43" s="95"/>
      <c r="I43" s="95"/>
      <c r="J43" s="95"/>
      <c r="K43" s="95"/>
      <c r="L43" s="126"/>
      <c r="M43" s="126"/>
      <c r="N43" s="127"/>
      <c r="O43" s="127"/>
      <c r="P43" s="127"/>
      <c r="Q43" s="127"/>
      <c r="R43" s="97"/>
      <c r="S43" s="97"/>
      <c r="T43" s="134"/>
    </row>
    <row r="44" ht="19.5" hidden="1" customHeight="1">
      <c r="A44" s="62"/>
      <c r="B44" s="64"/>
      <c r="C44" s="66"/>
      <c r="D44" s="135"/>
      <c r="E44" s="136"/>
      <c r="F44" s="137"/>
      <c r="G44" s="137"/>
      <c r="H44" s="137"/>
      <c r="I44" s="137"/>
      <c r="J44" s="137"/>
      <c r="K44" s="137"/>
      <c r="L44" s="138"/>
      <c r="M44" s="138"/>
      <c r="N44" s="139"/>
      <c r="O44" s="139"/>
      <c r="P44" s="139"/>
      <c r="Q44" s="139"/>
      <c r="R44" s="140"/>
      <c r="S44" s="140"/>
      <c r="T44" s="141"/>
    </row>
    <row r="45" ht="38.25" customHeight="1">
      <c r="A45" s="62"/>
      <c r="B45" s="64" t="s">
        <v>59</v>
      </c>
      <c r="C45" s="66"/>
      <c r="D45" s="142"/>
      <c r="E45" s="143" t="s">
        <v>10</v>
      </c>
      <c r="F45" s="144">
        <f t="shared" ref="F45:Q45" si="16">sum(F46:F47)</f>
        <v>0</v>
      </c>
      <c r="G45" s="144">
        <f t="shared" si="16"/>
        <v>0</v>
      </c>
      <c r="H45" s="144">
        <f t="shared" si="16"/>
        <v>0</v>
      </c>
      <c r="I45" s="144">
        <f t="shared" si="16"/>
        <v>0</v>
      </c>
      <c r="J45" s="144">
        <f t="shared" si="16"/>
        <v>0</v>
      </c>
      <c r="K45" s="144">
        <f t="shared" si="16"/>
        <v>0</v>
      </c>
      <c r="L45" s="144">
        <f t="shared" si="16"/>
        <v>0</v>
      </c>
      <c r="M45" s="144">
        <f t="shared" si="16"/>
        <v>0</v>
      </c>
      <c r="N45" s="144">
        <f t="shared" si="16"/>
        <v>0</v>
      </c>
      <c r="O45" s="144">
        <f t="shared" si="16"/>
        <v>0</v>
      </c>
      <c r="P45" s="144">
        <f t="shared" si="16"/>
        <v>0</v>
      </c>
      <c r="Q45" s="144">
        <f t="shared" si="16"/>
        <v>0</v>
      </c>
      <c r="R45" s="145">
        <f>sum(R46)</f>
        <v>0</v>
      </c>
      <c r="S45" s="146">
        <f>iferror(average(F45:Q45),"")</f>
        <v>0</v>
      </c>
      <c r="T45" s="147"/>
    </row>
    <row r="46" ht="19.5" customHeight="1" outlineLevel="1">
      <c r="A46" s="62"/>
      <c r="B46" s="64"/>
      <c r="C46" s="66"/>
      <c r="D46" s="150"/>
      <c r="E46" s="69" t="s">
        <v>60</v>
      </c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82">
        <f>sum(F46:Q46)</f>
        <v>0</v>
      </c>
      <c r="S46" s="82" t="str">
        <f>iferror(average(F46:Q46), "$0")</f>
        <v>$0</v>
      </c>
      <c r="T46" s="83"/>
    </row>
    <row r="47" ht="19.5" customHeight="1">
      <c r="A47" s="62"/>
      <c r="B47" s="64"/>
      <c r="C47" s="66"/>
      <c r="D47" s="84"/>
      <c r="E47" s="15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52"/>
      <c r="S47" s="152"/>
      <c r="T47" s="153"/>
    </row>
    <row r="48" ht="19.5" hidden="1" customHeight="1">
      <c r="A48" s="62"/>
      <c r="B48" s="64"/>
      <c r="C48" s="66"/>
      <c r="D48" s="135"/>
      <c r="E48" s="136"/>
      <c r="F48" s="137"/>
      <c r="G48" s="137"/>
      <c r="H48" s="137"/>
      <c r="I48" s="137"/>
      <c r="J48" s="137"/>
      <c r="K48" s="137"/>
      <c r="L48" s="138"/>
      <c r="M48" s="138"/>
      <c r="N48" s="139"/>
      <c r="O48" s="139"/>
      <c r="P48" s="139"/>
      <c r="Q48" s="139"/>
      <c r="R48" s="140"/>
      <c r="S48" s="140"/>
      <c r="T48" s="141"/>
    </row>
    <row r="49" ht="38.25" customHeight="1">
      <c r="A49" s="62"/>
      <c r="B49" s="64" t="s">
        <v>61</v>
      </c>
      <c r="C49" s="66"/>
      <c r="D49" s="142"/>
      <c r="E49" s="143" t="s">
        <v>10</v>
      </c>
      <c r="F49" s="144">
        <f t="shared" ref="F49:Q49" si="17">sum(F50:F54)</f>
        <v>0</v>
      </c>
      <c r="G49" s="144">
        <f t="shared" si="17"/>
        <v>0</v>
      </c>
      <c r="H49" s="144">
        <f t="shared" si="17"/>
        <v>0</v>
      </c>
      <c r="I49" s="144">
        <f t="shared" si="17"/>
        <v>0</v>
      </c>
      <c r="J49" s="144">
        <f t="shared" si="17"/>
        <v>0</v>
      </c>
      <c r="K49" s="144">
        <f t="shared" si="17"/>
        <v>0</v>
      </c>
      <c r="L49" s="144">
        <f t="shared" si="17"/>
        <v>0</v>
      </c>
      <c r="M49" s="144">
        <f t="shared" si="17"/>
        <v>0</v>
      </c>
      <c r="N49" s="144">
        <f t="shared" si="17"/>
        <v>0</v>
      </c>
      <c r="O49" s="144">
        <f t="shared" si="17"/>
        <v>0</v>
      </c>
      <c r="P49" s="144">
        <f t="shared" si="17"/>
        <v>0</v>
      </c>
      <c r="Q49" s="144">
        <f t="shared" si="17"/>
        <v>0</v>
      </c>
      <c r="R49" s="145">
        <f t="shared" ref="R49:R53" si="18">sum(F49:Q49)</f>
        <v>0</v>
      </c>
      <c r="S49" s="146">
        <f>iferror(average(F49:Q49),"")</f>
        <v>0</v>
      </c>
      <c r="T49" s="147"/>
    </row>
    <row r="50" ht="19.5" customHeight="1" outlineLevel="1">
      <c r="A50" s="62"/>
      <c r="B50" s="64"/>
      <c r="C50" s="66"/>
      <c r="D50" s="67"/>
      <c r="E50" s="69" t="s">
        <v>62</v>
      </c>
      <c r="F50" s="71"/>
      <c r="G50" s="71"/>
      <c r="H50" s="71"/>
      <c r="I50" s="71"/>
      <c r="J50" s="71"/>
      <c r="K50" s="71"/>
      <c r="L50" s="77"/>
      <c r="M50" s="77"/>
      <c r="N50" s="80"/>
      <c r="O50" s="80"/>
      <c r="P50" s="80"/>
      <c r="Q50" s="80"/>
      <c r="R50" s="82">
        <f t="shared" si="18"/>
        <v>0</v>
      </c>
      <c r="S50" s="82" t="str">
        <f t="shared" ref="S50:S53" si="19">iferror(average(F50:Q50), "$0")</f>
        <v>$0</v>
      </c>
      <c r="T50" s="83"/>
    </row>
    <row r="51" ht="19.5" customHeight="1" outlineLevel="1">
      <c r="A51" s="62"/>
      <c r="B51" s="64"/>
      <c r="C51" s="66"/>
      <c r="D51" s="84"/>
      <c r="E51" s="85" t="s">
        <v>63</v>
      </c>
      <c r="F51" s="86"/>
      <c r="G51" s="86"/>
      <c r="H51" s="86"/>
      <c r="I51" s="86"/>
      <c r="J51" s="86"/>
      <c r="K51" s="86"/>
      <c r="L51" s="87"/>
      <c r="M51" s="87"/>
      <c r="N51" s="88"/>
      <c r="O51" s="88"/>
      <c r="P51" s="88"/>
      <c r="Q51" s="88"/>
      <c r="R51" s="89">
        <f t="shared" si="18"/>
        <v>0</v>
      </c>
      <c r="S51" s="89" t="str">
        <f t="shared" si="19"/>
        <v>$0</v>
      </c>
      <c r="T51" s="90"/>
    </row>
    <row r="52" ht="19.5" customHeight="1" outlineLevel="1">
      <c r="A52" s="62"/>
      <c r="B52" s="64"/>
      <c r="C52" s="66"/>
      <c r="D52" s="84"/>
      <c r="E52" s="85" t="s">
        <v>64</v>
      </c>
      <c r="F52" s="86"/>
      <c r="G52" s="86"/>
      <c r="H52" s="86"/>
      <c r="I52" s="86"/>
      <c r="J52" s="86"/>
      <c r="K52" s="86"/>
      <c r="L52" s="87"/>
      <c r="M52" s="87"/>
      <c r="N52" s="88"/>
      <c r="O52" s="88"/>
      <c r="P52" s="88"/>
      <c r="Q52" s="88"/>
      <c r="R52" s="89">
        <f t="shared" si="18"/>
        <v>0</v>
      </c>
      <c r="S52" s="89" t="str">
        <f t="shared" si="19"/>
        <v>$0</v>
      </c>
      <c r="T52" s="90"/>
    </row>
    <row r="53" ht="19.5" customHeight="1" outlineLevel="1">
      <c r="A53" s="62"/>
      <c r="B53" s="64"/>
      <c r="C53" s="66"/>
      <c r="D53" s="91"/>
      <c r="E53" s="85" t="s">
        <v>61</v>
      </c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9">
        <f t="shared" si="18"/>
        <v>0</v>
      </c>
      <c r="S53" s="89" t="str">
        <f t="shared" si="19"/>
        <v>$0</v>
      </c>
      <c r="T53" s="90"/>
    </row>
    <row r="54" ht="19.5" customHeight="1">
      <c r="A54" s="62"/>
      <c r="B54" s="64"/>
      <c r="C54" s="66"/>
      <c r="D54" s="154"/>
      <c r="E54" s="102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7"/>
      <c r="S54" s="97"/>
      <c r="T54" s="134"/>
    </row>
    <row r="55" ht="19.5" hidden="1" customHeight="1">
      <c r="A55" s="62"/>
      <c r="B55" s="64"/>
      <c r="C55" s="66"/>
      <c r="D55" s="155"/>
      <c r="E55" s="156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40"/>
      <c r="S55" s="140"/>
      <c r="T55" s="141"/>
    </row>
    <row r="56" ht="38.25" customHeight="1">
      <c r="A56" s="62"/>
      <c r="B56" s="64" t="s">
        <v>65</v>
      </c>
      <c r="C56" s="66"/>
      <c r="D56" s="142"/>
      <c r="E56" s="143" t="s">
        <v>10</v>
      </c>
      <c r="F56" s="144">
        <f t="shared" ref="F56:Q56" si="20">sum(F57:F61)</f>
        <v>0</v>
      </c>
      <c r="G56" s="144">
        <f t="shared" si="20"/>
        <v>0</v>
      </c>
      <c r="H56" s="144">
        <f t="shared" si="20"/>
        <v>0</v>
      </c>
      <c r="I56" s="144">
        <f t="shared" si="20"/>
        <v>0</v>
      </c>
      <c r="J56" s="144">
        <f t="shared" si="20"/>
        <v>0</v>
      </c>
      <c r="K56" s="144">
        <f t="shared" si="20"/>
        <v>0</v>
      </c>
      <c r="L56" s="144">
        <f t="shared" si="20"/>
        <v>0</v>
      </c>
      <c r="M56" s="144">
        <f t="shared" si="20"/>
        <v>0</v>
      </c>
      <c r="N56" s="144">
        <f t="shared" si="20"/>
        <v>0</v>
      </c>
      <c r="O56" s="144">
        <f t="shared" si="20"/>
        <v>0</v>
      </c>
      <c r="P56" s="144">
        <f t="shared" si="20"/>
        <v>0</v>
      </c>
      <c r="Q56" s="144">
        <f t="shared" si="20"/>
        <v>0</v>
      </c>
      <c r="R56" s="145">
        <f t="shared" ref="R56:R60" si="21">sum(F56:Q56)</f>
        <v>0</v>
      </c>
      <c r="S56" s="146">
        <f>iferror(average(F56:Q56),"")</f>
        <v>0</v>
      </c>
      <c r="T56" s="147"/>
    </row>
    <row r="57" ht="19.5" customHeight="1" outlineLevel="1">
      <c r="A57" s="62"/>
      <c r="B57" s="64"/>
      <c r="C57" s="66"/>
      <c r="D57" s="67"/>
      <c r="E57" s="69" t="s">
        <v>66</v>
      </c>
      <c r="F57" s="71"/>
      <c r="G57" s="71"/>
      <c r="H57" s="71"/>
      <c r="I57" s="71"/>
      <c r="J57" s="71"/>
      <c r="K57" s="71"/>
      <c r="L57" s="77"/>
      <c r="M57" s="77"/>
      <c r="N57" s="80"/>
      <c r="O57" s="80"/>
      <c r="P57" s="80"/>
      <c r="Q57" s="80"/>
      <c r="R57" s="82">
        <f t="shared" si="21"/>
        <v>0</v>
      </c>
      <c r="S57" s="82" t="str">
        <f t="shared" ref="S57:S60" si="22">iferror(average(F57:Q57), "$0")</f>
        <v>$0</v>
      </c>
      <c r="T57" s="83"/>
    </row>
    <row r="58" ht="19.5" customHeight="1" outlineLevel="1">
      <c r="A58" s="62"/>
      <c r="B58" s="64"/>
      <c r="C58" s="66"/>
      <c r="D58" s="84"/>
      <c r="E58" s="85" t="s">
        <v>67</v>
      </c>
      <c r="F58" s="86"/>
      <c r="G58" s="86"/>
      <c r="H58" s="86"/>
      <c r="I58" s="86"/>
      <c r="J58" s="86"/>
      <c r="K58" s="86"/>
      <c r="L58" s="87"/>
      <c r="M58" s="87"/>
      <c r="N58" s="88"/>
      <c r="O58" s="88"/>
      <c r="P58" s="88"/>
      <c r="Q58" s="88"/>
      <c r="R58" s="89">
        <f t="shared" si="21"/>
        <v>0</v>
      </c>
      <c r="S58" s="89" t="str">
        <f t="shared" si="22"/>
        <v>$0</v>
      </c>
      <c r="T58" s="90"/>
    </row>
    <row r="59" ht="19.5" customHeight="1" outlineLevel="1">
      <c r="A59" s="62"/>
      <c r="B59" s="64"/>
      <c r="C59" s="66"/>
      <c r="D59" s="84"/>
      <c r="E59" s="85" t="s">
        <v>68</v>
      </c>
      <c r="F59" s="86"/>
      <c r="G59" s="86"/>
      <c r="H59" s="86"/>
      <c r="I59" s="86"/>
      <c r="J59" s="86"/>
      <c r="K59" s="86"/>
      <c r="L59" s="87"/>
      <c r="M59" s="87"/>
      <c r="N59" s="88"/>
      <c r="O59" s="88"/>
      <c r="P59" s="88"/>
      <c r="Q59" s="88"/>
      <c r="R59" s="89">
        <f t="shared" si="21"/>
        <v>0</v>
      </c>
      <c r="S59" s="89" t="str">
        <f t="shared" si="22"/>
        <v>$0</v>
      </c>
      <c r="T59" s="90"/>
    </row>
    <row r="60" ht="19.5" customHeight="1" outlineLevel="1">
      <c r="A60" s="62"/>
      <c r="B60" s="64"/>
      <c r="C60" s="66"/>
      <c r="D60" s="84"/>
      <c r="E60" s="149" t="s">
        <v>27</v>
      </c>
      <c r="F60" s="86"/>
      <c r="G60" s="86"/>
      <c r="H60" s="86"/>
      <c r="I60" s="86"/>
      <c r="J60" s="86"/>
      <c r="K60" s="86"/>
      <c r="L60" s="87"/>
      <c r="M60" s="87"/>
      <c r="N60" s="88"/>
      <c r="O60" s="88"/>
      <c r="P60" s="88"/>
      <c r="Q60" s="88"/>
      <c r="R60" s="89">
        <f t="shared" si="21"/>
        <v>0</v>
      </c>
      <c r="S60" s="89" t="str">
        <f t="shared" si="22"/>
        <v>$0</v>
      </c>
      <c r="T60" s="90"/>
    </row>
    <row r="61" ht="19.5" customHeight="1">
      <c r="A61" s="62"/>
      <c r="B61" s="64"/>
      <c r="C61" s="66"/>
      <c r="D61" s="84"/>
      <c r="E61" s="128"/>
      <c r="F61" s="95"/>
      <c r="G61" s="95"/>
      <c r="H61" s="95"/>
      <c r="I61" s="95"/>
      <c r="J61" s="95"/>
      <c r="K61" s="95"/>
      <c r="L61" s="126"/>
      <c r="M61" s="126"/>
      <c r="N61" s="127"/>
      <c r="O61" s="127"/>
      <c r="P61" s="127"/>
      <c r="Q61" s="127"/>
      <c r="R61" s="97"/>
      <c r="S61" s="97"/>
      <c r="T61" s="134"/>
    </row>
    <row r="62" ht="19.5" hidden="1" customHeight="1">
      <c r="A62" s="62"/>
      <c r="B62" s="64"/>
      <c r="C62" s="66"/>
      <c r="D62" s="135"/>
      <c r="E62" s="136"/>
      <c r="F62" s="137"/>
      <c r="G62" s="137"/>
      <c r="H62" s="137"/>
      <c r="I62" s="137"/>
      <c r="J62" s="137"/>
      <c r="K62" s="137"/>
      <c r="L62" s="138"/>
      <c r="M62" s="138"/>
      <c r="N62" s="139"/>
      <c r="O62" s="139"/>
      <c r="P62" s="139"/>
      <c r="Q62" s="139"/>
      <c r="R62" s="140"/>
      <c r="S62" s="140"/>
      <c r="T62" s="141"/>
    </row>
    <row r="63" ht="38.25" customHeight="1">
      <c r="A63" s="62"/>
      <c r="B63" s="64" t="s">
        <v>69</v>
      </c>
      <c r="C63" s="66"/>
      <c r="D63" s="142"/>
      <c r="E63" s="143" t="s">
        <v>10</v>
      </c>
      <c r="F63" s="144">
        <f t="shared" ref="F63:Q63" si="23">sum(F64:F65)</f>
        <v>0</v>
      </c>
      <c r="G63" s="144">
        <f t="shared" si="23"/>
        <v>0</v>
      </c>
      <c r="H63" s="144">
        <f t="shared" si="23"/>
        <v>0</v>
      </c>
      <c r="I63" s="144">
        <f t="shared" si="23"/>
        <v>0</v>
      </c>
      <c r="J63" s="144">
        <f t="shared" si="23"/>
        <v>0</v>
      </c>
      <c r="K63" s="144">
        <f t="shared" si="23"/>
        <v>0</v>
      </c>
      <c r="L63" s="144">
        <f t="shared" si="23"/>
        <v>0</v>
      </c>
      <c r="M63" s="144">
        <f t="shared" si="23"/>
        <v>0</v>
      </c>
      <c r="N63" s="144">
        <f t="shared" si="23"/>
        <v>0</v>
      </c>
      <c r="O63" s="144">
        <f t="shared" si="23"/>
        <v>0</v>
      </c>
      <c r="P63" s="144">
        <f t="shared" si="23"/>
        <v>0</v>
      </c>
      <c r="Q63" s="144">
        <f t="shared" si="23"/>
        <v>0</v>
      </c>
      <c r="R63" s="145">
        <f t="shared" ref="R63:R64" si="24">sum(F63:Q63)</f>
        <v>0</v>
      </c>
      <c r="S63" s="146">
        <f>iferror(average(F63:Q63),"")</f>
        <v>0</v>
      </c>
      <c r="T63" s="147"/>
    </row>
    <row r="64" ht="19.5" customHeight="1" outlineLevel="1">
      <c r="A64" s="62"/>
      <c r="B64" s="64"/>
      <c r="C64" s="66"/>
      <c r="D64" s="67"/>
      <c r="E64" s="69" t="s">
        <v>70</v>
      </c>
      <c r="F64" s="71"/>
      <c r="G64" s="71"/>
      <c r="H64" s="71"/>
      <c r="I64" s="71"/>
      <c r="J64" s="71"/>
      <c r="K64" s="71"/>
      <c r="L64" s="77"/>
      <c r="M64" s="77"/>
      <c r="N64" s="80"/>
      <c r="O64" s="80"/>
      <c r="P64" s="80"/>
      <c r="Q64" s="80"/>
      <c r="R64" s="82">
        <f t="shared" si="24"/>
        <v>0</v>
      </c>
      <c r="S64" s="82" t="str">
        <f>iferror(average(F64:Q64), "$0")</f>
        <v>$0</v>
      </c>
      <c r="T64" s="83"/>
    </row>
    <row r="65" ht="19.5" customHeight="1">
      <c r="A65" s="62"/>
      <c r="B65" s="64"/>
      <c r="C65" s="66"/>
      <c r="D65" s="84"/>
      <c r="E65" s="163"/>
      <c r="F65" s="121"/>
      <c r="G65" s="121"/>
      <c r="H65" s="121"/>
      <c r="I65" s="121"/>
      <c r="J65" s="121"/>
      <c r="K65" s="121"/>
      <c r="L65" s="166"/>
      <c r="M65" s="166"/>
      <c r="N65" s="168"/>
      <c r="O65" s="168"/>
      <c r="P65" s="168"/>
      <c r="Q65" s="168"/>
      <c r="R65" s="122"/>
      <c r="S65" s="122"/>
      <c r="T65" s="9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5.13"/>
    <col customWidth="1" hidden="1" min="2" max="2" width="5.13"/>
    <col customWidth="1" min="3" max="3" width="1.88"/>
    <col customWidth="1" min="4" max="4" width="16.75"/>
    <col customWidth="1" min="5" max="16" width="10.13"/>
    <col customWidth="1" min="17" max="17" width="12.63"/>
    <col customWidth="1" min="18" max="18" width="10.13"/>
    <col customWidth="1" min="19" max="19" width="1.88"/>
    <col customWidth="1" min="20" max="20" width="5.13"/>
  </cols>
  <sheetData>
    <row r="1" ht="30.0" customHeight="1">
      <c r="A1" s="157"/>
      <c r="B1" s="158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9"/>
      <c r="R1" s="159"/>
      <c r="S1" s="159"/>
      <c r="T1" s="157"/>
    </row>
    <row r="2" ht="18.0" customHeight="1">
      <c r="A2" s="160"/>
      <c r="B2" s="158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/>
      <c r="R2" s="162"/>
      <c r="S2" s="162"/>
      <c r="T2" s="157"/>
    </row>
    <row r="3" ht="18.0" customHeight="1">
      <c r="A3" s="160"/>
      <c r="B3" s="158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2"/>
      <c r="R3" s="162"/>
      <c r="S3" s="162"/>
      <c r="T3" s="157"/>
    </row>
    <row r="4" ht="18.0" customHeight="1">
      <c r="A4" s="160"/>
      <c r="B4" s="158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2"/>
      <c r="R4" s="162"/>
      <c r="S4" s="162"/>
      <c r="T4" s="157"/>
    </row>
    <row r="5" ht="18.0" customHeight="1">
      <c r="A5" s="160"/>
      <c r="B5" s="158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2"/>
      <c r="R5" s="162"/>
      <c r="S5" s="162"/>
      <c r="T5" s="157"/>
    </row>
    <row r="6" ht="18.0" customHeight="1">
      <c r="A6" s="160"/>
      <c r="B6" s="158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2"/>
      <c r="R6" s="162"/>
      <c r="S6" s="162"/>
      <c r="T6" s="157"/>
    </row>
    <row r="7" ht="18.0" customHeight="1">
      <c r="A7" s="160"/>
      <c r="B7" s="158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2"/>
      <c r="R7" s="162"/>
      <c r="S7" s="162"/>
      <c r="T7" s="157"/>
    </row>
    <row r="8" ht="18.0" customHeight="1">
      <c r="A8" s="160"/>
      <c r="B8" s="158"/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2"/>
      <c r="R8" s="162"/>
      <c r="S8" s="162"/>
      <c r="T8" s="157"/>
    </row>
    <row r="9" ht="18.0" customHeight="1">
      <c r="A9" s="160"/>
      <c r="B9" s="158"/>
      <c r="C9" s="161"/>
      <c r="D9" s="161"/>
      <c r="E9" s="161"/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61"/>
      <c r="Q9" s="162"/>
      <c r="R9" s="162"/>
      <c r="S9" s="162"/>
      <c r="T9" s="157"/>
    </row>
    <row r="10" ht="18.0" customHeight="1">
      <c r="A10" s="160"/>
      <c r="B10" s="158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2"/>
      <c r="R10" s="162"/>
      <c r="S10" s="162"/>
      <c r="T10" s="157"/>
    </row>
    <row r="11" ht="18.0" customHeight="1">
      <c r="A11" s="160"/>
      <c r="B11" s="158"/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2"/>
      <c r="R11" s="162"/>
      <c r="S11" s="162"/>
      <c r="T11" s="157"/>
    </row>
    <row r="12" ht="18.0" customHeight="1">
      <c r="A12" s="160"/>
      <c r="B12" s="158"/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2"/>
      <c r="R12" s="162"/>
      <c r="S12" s="162"/>
      <c r="T12" s="157"/>
    </row>
    <row r="13" ht="18.0" customHeight="1">
      <c r="A13" s="160"/>
      <c r="B13" s="158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2"/>
      <c r="R13" s="162"/>
      <c r="S13" s="162"/>
      <c r="T13" s="157"/>
    </row>
    <row r="14" ht="18.0" customHeight="1">
      <c r="A14" s="160"/>
      <c r="B14" s="158"/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2"/>
      <c r="R14" s="162"/>
      <c r="S14" s="162"/>
      <c r="T14" s="157"/>
    </row>
    <row r="15" ht="31.5" customHeight="1">
      <c r="A15" s="160"/>
      <c r="B15" s="158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64"/>
      <c r="P15" s="157"/>
      <c r="Q15" s="159"/>
      <c r="R15" s="159"/>
      <c r="S15" s="159"/>
      <c r="T15" s="157"/>
    </row>
    <row r="16" ht="36.0" customHeight="1">
      <c r="A16" s="165"/>
      <c r="B16" s="167"/>
      <c r="C16" s="169"/>
      <c r="D16" s="170" t="s">
        <v>71</v>
      </c>
      <c r="E16" s="169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2"/>
      <c r="R16" s="172"/>
      <c r="S16" s="172"/>
      <c r="T16" s="171"/>
    </row>
    <row r="17" ht="27.75" customHeight="1">
      <c r="A17" s="173"/>
      <c r="B17" s="174"/>
      <c r="C17" s="175"/>
      <c r="D17" s="175"/>
      <c r="E17" s="16" t="s">
        <v>72</v>
      </c>
      <c r="F17" s="16" t="s">
        <v>73</v>
      </c>
      <c r="G17" s="16" t="s">
        <v>74</v>
      </c>
      <c r="H17" s="16" t="s">
        <v>75</v>
      </c>
      <c r="I17" s="16" t="s">
        <v>76</v>
      </c>
      <c r="J17" s="16" t="s">
        <v>77</v>
      </c>
      <c r="K17" s="16" t="s">
        <v>78</v>
      </c>
      <c r="L17" s="16" t="s">
        <v>79</v>
      </c>
      <c r="M17" s="16" t="s">
        <v>80</v>
      </c>
      <c r="N17" s="16" t="s">
        <v>81</v>
      </c>
      <c r="O17" s="16" t="s">
        <v>82</v>
      </c>
      <c r="P17" s="16" t="s">
        <v>83</v>
      </c>
      <c r="Q17" s="176" t="s">
        <v>3</v>
      </c>
      <c r="R17" s="176" t="s">
        <v>4</v>
      </c>
      <c r="S17" s="176"/>
      <c r="T17" s="177"/>
    </row>
    <row r="18" ht="31.5" customHeight="1">
      <c r="A18" s="160"/>
      <c r="B18" s="158"/>
      <c r="C18" s="178"/>
      <c r="D18" s="178" t="s">
        <v>1</v>
      </c>
      <c r="E18" s="179">
        <f>sum(E25:E26)</f>
        <v>0</v>
      </c>
      <c r="F18" s="179">
        <f t="shared" ref="F18:P18" si="1">sum(F25:F27)</f>
        <v>0</v>
      </c>
      <c r="G18" s="179">
        <f t="shared" si="1"/>
        <v>0</v>
      </c>
      <c r="H18" s="179">
        <f t="shared" si="1"/>
        <v>5000</v>
      </c>
      <c r="I18" s="179">
        <f t="shared" si="1"/>
        <v>19400</v>
      </c>
      <c r="J18" s="179">
        <f t="shared" si="1"/>
        <v>22400</v>
      </c>
      <c r="K18" s="179">
        <f t="shared" si="1"/>
        <v>28320</v>
      </c>
      <c r="L18" s="179">
        <f t="shared" si="1"/>
        <v>24320</v>
      </c>
      <c r="M18" s="179">
        <f t="shared" si="1"/>
        <v>24920</v>
      </c>
      <c r="N18" s="179">
        <f t="shared" si="1"/>
        <v>30840</v>
      </c>
      <c r="O18" s="179">
        <f t="shared" si="1"/>
        <v>26840</v>
      </c>
      <c r="P18" s="179">
        <f t="shared" si="1"/>
        <v>27440</v>
      </c>
      <c r="Q18" s="180">
        <f t="shared" ref="Q18:Q20" si="3">sum(E18:P18)</f>
        <v>209480</v>
      </c>
      <c r="R18" s="180">
        <f t="shared" ref="R18:R21" si="4">iferror(averageif(E18:P18, "&gt;0", E18:P18),"")</f>
        <v>23275.55556</v>
      </c>
      <c r="S18" s="180"/>
      <c r="T18" s="181"/>
    </row>
    <row r="19" ht="31.5" customHeight="1">
      <c r="A19" s="182"/>
      <c r="B19" s="183"/>
      <c r="C19" s="184"/>
      <c r="D19" s="185" t="s">
        <v>2</v>
      </c>
      <c r="E19" s="186">
        <f t="shared" ref="E19:P19" si="2">sum(E30:E39)</f>
        <v>0</v>
      </c>
      <c r="F19" s="186">
        <f t="shared" si="2"/>
        <v>0</v>
      </c>
      <c r="G19" s="186">
        <f t="shared" si="2"/>
        <v>0</v>
      </c>
      <c r="H19" s="186">
        <f t="shared" si="2"/>
        <v>31600</v>
      </c>
      <c r="I19" s="186">
        <f t="shared" si="2"/>
        <v>13260</v>
      </c>
      <c r="J19" s="186">
        <f t="shared" si="2"/>
        <v>39360</v>
      </c>
      <c r="K19" s="186">
        <f t="shared" si="2"/>
        <v>7728</v>
      </c>
      <c r="L19" s="186">
        <f t="shared" si="2"/>
        <v>20978</v>
      </c>
      <c r="M19" s="186">
        <f t="shared" si="2"/>
        <v>44568</v>
      </c>
      <c r="N19" s="186">
        <f t="shared" si="2"/>
        <v>8736</v>
      </c>
      <c r="O19" s="186">
        <f t="shared" si="2"/>
        <v>8736</v>
      </c>
      <c r="P19" s="186">
        <f t="shared" si="2"/>
        <v>49776</v>
      </c>
      <c r="Q19" s="187">
        <f t="shared" si="3"/>
        <v>224742</v>
      </c>
      <c r="R19" s="187">
        <f t="shared" si="4"/>
        <v>24971.33333</v>
      </c>
      <c r="S19" s="188"/>
      <c r="T19" s="189"/>
    </row>
    <row r="20" ht="31.5" customHeight="1">
      <c r="A20" s="190"/>
      <c r="B20" s="191"/>
      <c r="C20" s="192"/>
      <c r="D20" s="193" t="s">
        <v>84</v>
      </c>
      <c r="E20" s="194">
        <f t="shared" ref="E20:P20" si="5">E18-E19</f>
        <v>0</v>
      </c>
      <c r="F20" s="194">
        <f t="shared" si="5"/>
        <v>0</v>
      </c>
      <c r="G20" s="194">
        <f t="shared" si="5"/>
        <v>0</v>
      </c>
      <c r="H20" s="194">
        <f t="shared" si="5"/>
        <v>-26600</v>
      </c>
      <c r="I20" s="194">
        <f t="shared" si="5"/>
        <v>6140</v>
      </c>
      <c r="J20" s="194">
        <f t="shared" si="5"/>
        <v>-16960</v>
      </c>
      <c r="K20" s="194">
        <f t="shared" si="5"/>
        <v>20592</v>
      </c>
      <c r="L20" s="194">
        <f t="shared" si="5"/>
        <v>3342</v>
      </c>
      <c r="M20" s="194">
        <f t="shared" si="5"/>
        <v>-19648</v>
      </c>
      <c r="N20" s="194">
        <f t="shared" si="5"/>
        <v>22104</v>
      </c>
      <c r="O20" s="194">
        <f t="shared" si="5"/>
        <v>18104</v>
      </c>
      <c r="P20" s="194">
        <f t="shared" si="5"/>
        <v>-22336</v>
      </c>
      <c r="Q20" s="195">
        <f t="shared" si="3"/>
        <v>-15262</v>
      </c>
      <c r="R20" s="196">
        <f t="shared" si="4"/>
        <v>14056.4</v>
      </c>
      <c r="S20" s="197"/>
      <c r="T20" s="198"/>
    </row>
    <row r="21" ht="31.5" customHeight="1">
      <c r="A21" s="160"/>
      <c r="B21" s="158"/>
      <c r="C21" s="199"/>
      <c r="D21" s="200" t="s">
        <v>85</v>
      </c>
      <c r="E21" s="201">
        <f>(Balance+E18)-E19</f>
        <v>14000</v>
      </c>
      <c r="F21" s="201">
        <f t="shared" ref="F21:P21" si="6">(E21+F18)-F19</f>
        <v>14000</v>
      </c>
      <c r="G21" s="201">
        <f t="shared" si="6"/>
        <v>14000</v>
      </c>
      <c r="H21" s="201">
        <f t="shared" si="6"/>
        <v>-12600</v>
      </c>
      <c r="I21" s="201">
        <f t="shared" si="6"/>
        <v>-6460</v>
      </c>
      <c r="J21" s="201">
        <f t="shared" si="6"/>
        <v>-23420</v>
      </c>
      <c r="K21" s="201">
        <f t="shared" si="6"/>
        <v>-2828</v>
      </c>
      <c r="L21" s="201">
        <f t="shared" si="6"/>
        <v>514</v>
      </c>
      <c r="M21" s="201">
        <f t="shared" si="6"/>
        <v>-19134</v>
      </c>
      <c r="N21" s="201">
        <f t="shared" si="6"/>
        <v>2970</v>
      </c>
      <c r="O21" s="201">
        <f t="shared" si="6"/>
        <v>21074</v>
      </c>
      <c r="P21" s="201">
        <f t="shared" si="6"/>
        <v>-1262</v>
      </c>
      <c r="Q21" s="202"/>
      <c r="R21" s="188">
        <f t="shared" si="4"/>
        <v>11093</v>
      </c>
      <c r="S21" s="203"/>
      <c r="T21" s="181"/>
    </row>
    <row r="22" ht="31.5" customHeight="1">
      <c r="A22" s="160"/>
      <c r="B22" s="158"/>
      <c r="C22" s="157"/>
      <c r="D22" s="157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172"/>
      <c r="R22" s="172"/>
      <c r="S22" s="172"/>
      <c r="T22" s="204"/>
    </row>
    <row r="23" ht="36.0" customHeight="1">
      <c r="A23" s="165"/>
      <c r="B23" s="167"/>
      <c r="C23" s="169"/>
      <c r="D23" s="170" t="s">
        <v>1</v>
      </c>
      <c r="E23" s="169"/>
      <c r="F23" s="205"/>
      <c r="G23" s="205"/>
      <c r="H23" s="205"/>
      <c r="I23" s="205"/>
      <c r="J23" s="205"/>
      <c r="K23" s="206"/>
      <c r="L23" s="171"/>
      <c r="M23" s="171"/>
      <c r="N23" s="171"/>
      <c r="O23" s="171"/>
      <c r="P23" s="171"/>
      <c r="Q23" s="172"/>
      <c r="R23" s="172"/>
      <c r="S23" s="172"/>
      <c r="T23" s="171"/>
    </row>
    <row r="24" ht="27.75" customHeight="1">
      <c r="A24" s="173"/>
      <c r="B24" s="174" t="s">
        <v>86</v>
      </c>
      <c r="C24" s="175"/>
      <c r="D24" s="175" t="str">
        <f t="array" ref="D24:D26">unique(Income!B:B)</f>
        <v/>
      </c>
      <c r="E24" s="16" t="s">
        <v>72</v>
      </c>
      <c r="F24" s="16" t="s">
        <v>73</v>
      </c>
      <c r="G24" s="16" t="s">
        <v>74</v>
      </c>
      <c r="H24" s="16" t="s">
        <v>75</v>
      </c>
      <c r="I24" s="16" t="s">
        <v>76</v>
      </c>
      <c r="J24" s="16" t="s">
        <v>77</v>
      </c>
      <c r="K24" s="16" t="s">
        <v>78</v>
      </c>
      <c r="L24" s="16" t="s">
        <v>79</v>
      </c>
      <c r="M24" s="16" t="s">
        <v>80</v>
      </c>
      <c r="N24" s="16" t="s">
        <v>81</v>
      </c>
      <c r="O24" s="16" t="s">
        <v>82</v>
      </c>
      <c r="P24" s="16" t="s">
        <v>83</v>
      </c>
      <c r="Q24" s="176" t="s">
        <v>3</v>
      </c>
      <c r="R24" s="176" t="s">
        <v>4</v>
      </c>
      <c r="S24" s="176"/>
      <c r="T24" s="177"/>
    </row>
    <row r="25" ht="31.5" customHeight="1">
      <c r="A25" s="160"/>
      <c r="B25" s="207">
        <f t="array" ref="B25:B26">iferror(match(D25:D26,Income!B:B,0),"")</f>
        <v>2</v>
      </c>
      <c r="C25" s="208"/>
      <c r="D25" s="209" t="s">
        <v>7</v>
      </c>
      <c r="E25" s="210">
        <f t="shared" ref="E25:E26" si="7">if(not(isblank(B25)), indirect("Income!F"&amp;B25&amp;":S"&amp;B25),"")</f>
        <v>0</v>
      </c>
      <c r="F25" s="210">
        <v>0.0</v>
      </c>
      <c r="G25" s="210">
        <v>0.0</v>
      </c>
      <c r="H25" s="210">
        <v>5000.0</v>
      </c>
      <c r="I25" s="210">
        <v>19400.0</v>
      </c>
      <c r="J25" s="210">
        <v>22400.0</v>
      </c>
      <c r="K25" s="210">
        <v>28320.0</v>
      </c>
      <c r="L25" s="210">
        <v>24320.0</v>
      </c>
      <c r="M25" s="210">
        <v>24920.0</v>
      </c>
      <c r="N25" s="210">
        <v>30840.0</v>
      </c>
      <c r="O25" s="210">
        <v>26840.0</v>
      </c>
      <c r="P25" s="210">
        <v>27440.0</v>
      </c>
      <c r="Q25" s="180">
        <v>209480.0</v>
      </c>
      <c r="R25" s="180">
        <v>17456.666666666668</v>
      </c>
      <c r="S25" s="180"/>
      <c r="T25" s="211"/>
    </row>
    <row r="26" ht="31.5" customHeight="1">
      <c r="A26" s="160"/>
      <c r="B26" s="212">
        <v>10.0</v>
      </c>
      <c r="C26" s="213"/>
      <c r="D26" s="213" t="s">
        <v>27</v>
      </c>
      <c r="E26" s="214">
        <f t="shared" si="7"/>
        <v>0</v>
      </c>
      <c r="F26" s="214">
        <v>0.0</v>
      </c>
      <c r="G26" s="214">
        <v>0.0</v>
      </c>
      <c r="H26" s="214">
        <v>0.0</v>
      </c>
      <c r="I26" s="214">
        <v>0.0</v>
      </c>
      <c r="J26" s="214">
        <v>0.0</v>
      </c>
      <c r="K26" s="214">
        <v>0.0</v>
      </c>
      <c r="L26" s="214">
        <v>0.0</v>
      </c>
      <c r="M26" s="214">
        <v>0.0</v>
      </c>
      <c r="N26" s="214">
        <v>0.0</v>
      </c>
      <c r="O26" s="214">
        <v>0.0</v>
      </c>
      <c r="P26" s="214">
        <v>0.0</v>
      </c>
      <c r="Q26" s="203">
        <v>0.0</v>
      </c>
      <c r="R26" s="203">
        <v>0.0</v>
      </c>
      <c r="S26" s="203"/>
      <c r="T26" s="211"/>
    </row>
    <row r="27" ht="31.5" customHeight="1">
      <c r="A27" s="160"/>
      <c r="B27" s="158"/>
      <c r="C27" s="215"/>
      <c r="D27" s="216"/>
      <c r="E27" s="217"/>
      <c r="F27" s="217"/>
      <c r="G27" s="217"/>
      <c r="H27" s="217"/>
      <c r="I27" s="217"/>
      <c r="J27" s="217"/>
      <c r="K27" s="217"/>
      <c r="L27" s="217"/>
      <c r="M27" s="217"/>
      <c r="N27" s="217"/>
      <c r="O27" s="217"/>
      <c r="P27" s="217"/>
      <c r="Q27" s="218"/>
      <c r="R27" s="219"/>
      <c r="S27" s="220"/>
      <c r="T27" s="181"/>
    </row>
    <row r="28" ht="36.0" customHeight="1">
      <c r="A28" s="165"/>
      <c r="B28" s="167"/>
      <c r="C28" s="169"/>
      <c r="D28" s="170" t="s">
        <v>2</v>
      </c>
      <c r="E28" s="169"/>
      <c r="F28" s="206"/>
      <c r="G28" s="206"/>
      <c r="H28" s="221"/>
      <c r="I28" s="221"/>
      <c r="J28" s="221"/>
      <c r="K28" s="221"/>
      <c r="L28" s="221"/>
      <c r="M28" s="221"/>
      <c r="N28" s="221"/>
      <c r="O28" s="221"/>
      <c r="P28" s="221"/>
      <c r="Q28" s="222"/>
      <c r="R28" s="222"/>
      <c r="S28" s="220"/>
      <c r="T28" s="171"/>
    </row>
    <row r="29" ht="27.75" customHeight="1">
      <c r="A29" s="173"/>
      <c r="B29" s="174" t="s">
        <v>86</v>
      </c>
      <c r="C29" s="175"/>
      <c r="D29" s="175" t="str">
        <f t="array" ref="D29:D38">unique(Expenses!B:B)</f>
        <v/>
      </c>
      <c r="E29" s="16" t="s">
        <v>72</v>
      </c>
      <c r="F29" s="16" t="s">
        <v>73</v>
      </c>
      <c r="G29" s="16" t="s">
        <v>74</v>
      </c>
      <c r="H29" s="16" t="s">
        <v>75</v>
      </c>
      <c r="I29" s="16" t="s">
        <v>76</v>
      </c>
      <c r="J29" s="16" t="s">
        <v>77</v>
      </c>
      <c r="K29" s="16" t="s">
        <v>78</v>
      </c>
      <c r="L29" s="16" t="s">
        <v>79</v>
      </c>
      <c r="M29" s="16" t="s">
        <v>80</v>
      </c>
      <c r="N29" s="16" t="s">
        <v>81</v>
      </c>
      <c r="O29" s="16" t="s">
        <v>82</v>
      </c>
      <c r="P29" s="16" t="s">
        <v>83</v>
      </c>
      <c r="Q29" s="176" t="s">
        <v>3</v>
      </c>
      <c r="R29" s="176" t="s">
        <v>4</v>
      </c>
      <c r="S29" s="176"/>
      <c r="T29" s="177"/>
    </row>
    <row r="30" ht="31.5" customHeight="1">
      <c r="A30" s="223"/>
      <c r="B30" s="224">
        <f t="array" ref="B30:B38">iferror(match(D30:D38,Expenses!B:B,0),"")</f>
        <v>2</v>
      </c>
      <c r="C30" s="208"/>
      <c r="D30" s="225" t="s">
        <v>8</v>
      </c>
      <c r="E30" s="210">
        <f t="shared" ref="E30:E38" si="8">if(not(isblank(B30)), indirect("Expenses!F"&amp;B30&amp;":S"&amp;B30),"")</f>
        <v>0</v>
      </c>
      <c r="F30" s="210">
        <v>0.0</v>
      </c>
      <c r="G30" s="210">
        <v>0.0</v>
      </c>
      <c r="H30" s="210">
        <v>29600.0</v>
      </c>
      <c r="I30" s="210">
        <v>7500.0</v>
      </c>
      <c r="J30" s="210">
        <v>32399.999999999996</v>
      </c>
      <c r="K30" s="210">
        <v>0.0</v>
      </c>
      <c r="L30" s="210">
        <v>13250.0</v>
      </c>
      <c r="M30" s="210">
        <v>36600.0</v>
      </c>
      <c r="N30" s="210">
        <v>0.0</v>
      </c>
      <c r="O30" s="210">
        <v>0.0</v>
      </c>
      <c r="P30" s="210">
        <v>40800.0</v>
      </c>
      <c r="Q30" s="180">
        <v>0.0</v>
      </c>
      <c r="R30" s="180">
        <v>13345.833333333334</v>
      </c>
      <c r="S30" s="180"/>
      <c r="T30" s="226"/>
    </row>
    <row r="31" ht="31.5" customHeight="1">
      <c r="A31" s="160"/>
      <c r="B31" s="227">
        <v>8.0</v>
      </c>
      <c r="C31" s="213"/>
      <c r="D31" s="228" t="s">
        <v>26</v>
      </c>
      <c r="E31" s="214">
        <f t="shared" si="8"/>
        <v>0</v>
      </c>
      <c r="F31" s="214">
        <v>0.0</v>
      </c>
      <c r="G31" s="214">
        <v>0.0</v>
      </c>
      <c r="H31" s="214">
        <v>2000.0000000000002</v>
      </c>
      <c r="I31" s="214">
        <v>5760.0</v>
      </c>
      <c r="J31" s="214">
        <v>6960.000000000001</v>
      </c>
      <c r="K31" s="214">
        <v>7728.0</v>
      </c>
      <c r="L31" s="214">
        <v>7728.0</v>
      </c>
      <c r="M31" s="214">
        <v>7968.0</v>
      </c>
      <c r="N31" s="214">
        <v>8736.0</v>
      </c>
      <c r="O31" s="214">
        <v>8736.0</v>
      </c>
      <c r="P31" s="214">
        <v>8976.0</v>
      </c>
      <c r="Q31" s="203">
        <v>64592.0</v>
      </c>
      <c r="R31" s="203">
        <v>5382.666666666667</v>
      </c>
      <c r="S31" s="203"/>
      <c r="T31" s="229"/>
    </row>
    <row r="32" ht="31.5" customHeight="1">
      <c r="A32" s="160"/>
      <c r="B32" s="227">
        <v>16.0</v>
      </c>
      <c r="C32" s="213"/>
      <c r="D32" s="228" t="s">
        <v>37</v>
      </c>
      <c r="E32" s="214">
        <f t="shared" si="8"/>
        <v>0</v>
      </c>
      <c r="F32" s="214">
        <v>0.0</v>
      </c>
      <c r="G32" s="214">
        <v>0.0</v>
      </c>
      <c r="H32" s="214">
        <v>0.0</v>
      </c>
      <c r="I32" s="214">
        <v>0.0</v>
      </c>
      <c r="J32" s="214">
        <v>0.0</v>
      </c>
      <c r="K32" s="214">
        <v>0.0</v>
      </c>
      <c r="L32" s="214">
        <v>0.0</v>
      </c>
      <c r="M32" s="214">
        <v>0.0</v>
      </c>
      <c r="N32" s="214">
        <v>0.0</v>
      </c>
      <c r="O32" s="214">
        <v>0.0</v>
      </c>
      <c r="P32" s="214">
        <v>0.0</v>
      </c>
      <c r="Q32" s="203">
        <v>0.0</v>
      </c>
      <c r="R32" s="203">
        <v>0.0</v>
      </c>
      <c r="S32" s="203"/>
      <c r="T32" s="229"/>
    </row>
    <row r="33" ht="31.5" customHeight="1">
      <c r="A33" s="160"/>
      <c r="B33" s="227">
        <v>27.0</v>
      </c>
      <c r="C33" s="213"/>
      <c r="D33" s="228" t="s">
        <v>46</v>
      </c>
      <c r="E33" s="214">
        <f t="shared" si="8"/>
        <v>0</v>
      </c>
      <c r="F33" s="214">
        <v>0.0</v>
      </c>
      <c r="G33" s="214">
        <v>0.0</v>
      </c>
      <c r="H33" s="214">
        <v>0.0</v>
      </c>
      <c r="I33" s="214">
        <v>0.0</v>
      </c>
      <c r="J33" s="214">
        <v>0.0</v>
      </c>
      <c r="K33" s="214">
        <v>0.0</v>
      </c>
      <c r="L33" s="214">
        <v>0.0</v>
      </c>
      <c r="M33" s="214">
        <v>0.0</v>
      </c>
      <c r="N33" s="214">
        <v>0.0</v>
      </c>
      <c r="O33" s="214">
        <v>0.0</v>
      </c>
      <c r="P33" s="214">
        <v>0.0</v>
      </c>
      <c r="Q33" s="203">
        <v>0.0</v>
      </c>
      <c r="R33" s="203">
        <v>0.0</v>
      </c>
      <c r="S33" s="203"/>
      <c r="T33" s="229"/>
    </row>
    <row r="34" ht="31.5" customHeight="1">
      <c r="A34" s="160"/>
      <c r="B34" s="227">
        <v>36.0</v>
      </c>
      <c r="C34" s="213"/>
      <c r="D34" s="228" t="s">
        <v>53</v>
      </c>
      <c r="E34" s="214">
        <f t="shared" si="8"/>
        <v>0</v>
      </c>
      <c r="F34" s="214">
        <v>0.0</v>
      </c>
      <c r="G34" s="214">
        <v>0.0</v>
      </c>
      <c r="H34" s="214">
        <v>0.0</v>
      </c>
      <c r="I34" s="214">
        <v>0.0</v>
      </c>
      <c r="J34" s="214">
        <v>0.0</v>
      </c>
      <c r="K34" s="214">
        <v>0.0</v>
      </c>
      <c r="L34" s="214">
        <v>0.0</v>
      </c>
      <c r="M34" s="214">
        <v>0.0</v>
      </c>
      <c r="N34" s="214">
        <v>0.0</v>
      </c>
      <c r="O34" s="214">
        <v>0.0</v>
      </c>
      <c r="P34" s="214">
        <v>0.0</v>
      </c>
      <c r="Q34" s="203">
        <v>0.0</v>
      </c>
      <c r="R34" s="203">
        <v>0.0</v>
      </c>
      <c r="S34" s="203"/>
      <c r="T34" s="229"/>
    </row>
    <row r="35" ht="31.5" customHeight="1">
      <c r="A35" s="160"/>
      <c r="B35" s="227">
        <v>45.0</v>
      </c>
      <c r="C35" s="213"/>
      <c r="D35" s="228" t="s">
        <v>59</v>
      </c>
      <c r="E35" s="214">
        <f t="shared" si="8"/>
        <v>0</v>
      </c>
      <c r="F35" s="214">
        <v>0.0</v>
      </c>
      <c r="G35" s="214">
        <v>0.0</v>
      </c>
      <c r="H35" s="214">
        <v>0.0</v>
      </c>
      <c r="I35" s="214">
        <v>0.0</v>
      </c>
      <c r="J35" s="214">
        <v>0.0</v>
      </c>
      <c r="K35" s="214">
        <v>0.0</v>
      </c>
      <c r="L35" s="214">
        <v>0.0</v>
      </c>
      <c r="M35" s="214">
        <v>0.0</v>
      </c>
      <c r="N35" s="214">
        <v>0.0</v>
      </c>
      <c r="O35" s="214">
        <v>0.0</v>
      </c>
      <c r="P35" s="214">
        <v>0.0</v>
      </c>
      <c r="Q35" s="203">
        <v>0.0</v>
      </c>
      <c r="R35" s="203">
        <v>0.0</v>
      </c>
      <c r="S35" s="203"/>
      <c r="T35" s="229"/>
    </row>
    <row r="36" ht="31.5" customHeight="1">
      <c r="A36" s="160"/>
      <c r="B36" s="227">
        <v>49.0</v>
      </c>
      <c r="C36" s="213"/>
      <c r="D36" s="228" t="s">
        <v>61</v>
      </c>
      <c r="E36" s="214">
        <f t="shared" si="8"/>
        <v>0</v>
      </c>
      <c r="F36" s="214">
        <v>0.0</v>
      </c>
      <c r="G36" s="214">
        <v>0.0</v>
      </c>
      <c r="H36" s="214">
        <v>0.0</v>
      </c>
      <c r="I36" s="214">
        <v>0.0</v>
      </c>
      <c r="J36" s="214">
        <v>0.0</v>
      </c>
      <c r="K36" s="214">
        <v>0.0</v>
      </c>
      <c r="L36" s="214">
        <v>0.0</v>
      </c>
      <c r="M36" s="214">
        <v>0.0</v>
      </c>
      <c r="N36" s="214">
        <v>0.0</v>
      </c>
      <c r="O36" s="214">
        <v>0.0</v>
      </c>
      <c r="P36" s="214">
        <v>0.0</v>
      </c>
      <c r="Q36" s="203">
        <v>0.0</v>
      </c>
      <c r="R36" s="203">
        <v>0.0</v>
      </c>
      <c r="S36" s="203"/>
      <c r="T36" s="229"/>
    </row>
    <row r="37" ht="31.5" customHeight="1">
      <c r="A37" s="160"/>
      <c r="B37" s="227">
        <v>56.0</v>
      </c>
      <c r="C37" s="213"/>
      <c r="D37" s="228" t="s">
        <v>65</v>
      </c>
      <c r="E37" s="214">
        <f t="shared" si="8"/>
        <v>0</v>
      </c>
      <c r="F37" s="214">
        <v>0.0</v>
      </c>
      <c r="G37" s="214">
        <v>0.0</v>
      </c>
      <c r="H37" s="214">
        <v>0.0</v>
      </c>
      <c r="I37" s="214">
        <v>0.0</v>
      </c>
      <c r="J37" s="214">
        <v>0.0</v>
      </c>
      <c r="K37" s="214">
        <v>0.0</v>
      </c>
      <c r="L37" s="214">
        <v>0.0</v>
      </c>
      <c r="M37" s="214">
        <v>0.0</v>
      </c>
      <c r="N37" s="214">
        <v>0.0</v>
      </c>
      <c r="O37" s="214">
        <v>0.0</v>
      </c>
      <c r="P37" s="214">
        <v>0.0</v>
      </c>
      <c r="Q37" s="203">
        <v>0.0</v>
      </c>
      <c r="R37" s="203">
        <v>0.0</v>
      </c>
      <c r="S37" s="203"/>
      <c r="T37" s="229"/>
    </row>
    <row r="38" ht="31.5" customHeight="1">
      <c r="A38" s="160"/>
      <c r="B38" s="227">
        <v>63.0</v>
      </c>
      <c r="C38" s="213"/>
      <c r="D38" s="228" t="s">
        <v>69</v>
      </c>
      <c r="E38" s="214">
        <f t="shared" si="8"/>
        <v>0</v>
      </c>
      <c r="F38" s="214">
        <v>0.0</v>
      </c>
      <c r="G38" s="214">
        <v>0.0</v>
      </c>
      <c r="H38" s="214">
        <v>0.0</v>
      </c>
      <c r="I38" s="214">
        <v>0.0</v>
      </c>
      <c r="J38" s="214">
        <v>0.0</v>
      </c>
      <c r="K38" s="214">
        <v>0.0</v>
      </c>
      <c r="L38" s="214">
        <v>0.0</v>
      </c>
      <c r="M38" s="214">
        <v>0.0</v>
      </c>
      <c r="N38" s="214">
        <v>0.0</v>
      </c>
      <c r="O38" s="214">
        <v>0.0</v>
      </c>
      <c r="P38" s="214">
        <v>0.0</v>
      </c>
      <c r="Q38" s="203">
        <v>0.0</v>
      </c>
      <c r="R38" s="203">
        <v>0.0</v>
      </c>
      <c r="S38" s="203"/>
      <c r="T38" s="229"/>
    </row>
    <row r="39" ht="19.5" customHeight="1">
      <c r="A39" s="160"/>
      <c r="B39" s="230"/>
      <c r="C39" s="231"/>
      <c r="D39" s="231"/>
      <c r="E39" s="232" t="str">
        <f t="shared" ref="E39:E57" si="9">if(not(isblank(B39)), indirect("Expenses!D"&amp;B39&amp;":Q"&amp;B39),"")</f>
        <v/>
      </c>
      <c r="F39" s="232"/>
      <c r="G39" s="232"/>
      <c r="H39" s="232"/>
      <c r="I39" s="232"/>
      <c r="J39" s="232"/>
      <c r="K39" s="232"/>
      <c r="L39" s="232"/>
      <c r="M39" s="232"/>
      <c r="N39" s="232"/>
      <c r="O39" s="232"/>
      <c r="P39" s="232"/>
      <c r="Q39" s="233"/>
      <c r="R39" s="233"/>
      <c r="S39" s="233"/>
      <c r="T39" s="234"/>
    </row>
    <row r="40" ht="19.5" customHeight="1">
      <c r="A40" s="160"/>
      <c r="B40" s="158"/>
      <c r="C40" s="157"/>
      <c r="D40" s="157"/>
      <c r="E40" s="235" t="str">
        <f t="shared" si="9"/>
        <v/>
      </c>
      <c r="F40" s="236"/>
      <c r="G40" s="236"/>
      <c r="H40" s="236"/>
      <c r="I40" s="236"/>
      <c r="J40" s="236"/>
      <c r="K40" s="236"/>
      <c r="L40" s="236"/>
      <c r="M40" s="236"/>
      <c r="N40" s="236"/>
      <c r="O40" s="236"/>
      <c r="P40" s="236"/>
      <c r="Q40" s="220"/>
      <c r="R40" s="220"/>
      <c r="S40" s="220"/>
      <c r="T40" s="237"/>
    </row>
    <row r="41" ht="19.5" customHeight="1">
      <c r="A41" s="160"/>
      <c r="B41" s="158"/>
      <c r="C41" s="238"/>
      <c r="D41" s="238"/>
      <c r="E41" s="235" t="str">
        <f t="shared" si="9"/>
        <v/>
      </c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20"/>
      <c r="R41" s="220"/>
      <c r="S41" s="220"/>
      <c r="T41" s="157"/>
    </row>
    <row r="42" ht="19.5" customHeight="1">
      <c r="A42" s="160"/>
      <c r="B42" s="158"/>
      <c r="C42" s="238"/>
      <c r="D42" s="238"/>
      <c r="E42" s="235" t="str">
        <f t="shared" si="9"/>
        <v/>
      </c>
      <c r="F42" s="239"/>
      <c r="G42" s="240"/>
      <c r="H42" s="240"/>
      <c r="I42" s="241"/>
      <c r="J42" s="240"/>
      <c r="K42" s="240"/>
      <c r="L42" s="240"/>
      <c r="M42" s="240"/>
      <c r="N42" s="240"/>
      <c r="O42" s="240"/>
      <c r="P42" s="240"/>
      <c r="Q42" s="242"/>
      <c r="R42" s="242"/>
      <c r="S42" s="242"/>
      <c r="T42" s="157"/>
    </row>
    <row r="43" ht="19.5" customHeight="1">
      <c r="A43" s="160"/>
      <c r="B43" s="158"/>
      <c r="C43" s="238"/>
      <c r="D43" s="238"/>
      <c r="E43" s="235" t="str">
        <f t="shared" si="9"/>
        <v/>
      </c>
      <c r="F43" s="239"/>
      <c r="G43" s="240"/>
      <c r="H43" s="240"/>
      <c r="I43" s="241"/>
      <c r="J43" s="240"/>
      <c r="K43" s="240"/>
      <c r="L43" s="240"/>
      <c r="M43" s="240"/>
      <c r="N43" s="240"/>
      <c r="O43" s="240"/>
      <c r="P43" s="240"/>
      <c r="Q43" s="242"/>
      <c r="R43" s="242"/>
      <c r="S43" s="242"/>
      <c r="T43" s="157"/>
    </row>
    <row r="44" ht="19.5" customHeight="1">
      <c r="A44" s="160"/>
      <c r="B44" s="158"/>
      <c r="C44" s="238"/>
      <c r="D44" s="238"/>
      <c r="E44" s="235" t="str">
        <f t="shared" si="9"/>
        <v/>
      </c>
      <c r="F44" s="239"/>
      <c r="G44" s="240"/>
      <c r="H44" s="240"/>
      <c r="I44" s="241"/>
      <c r="J44" s="240"/>
      <c r="K44" s="240"/>
      <c r="L44" s="240"/>
      <c r="M44" s="240"/>
      <c r="N44" s="240"/>
      <c r="O44" s="240"/>
      <c r="P44" s="240"/>
      <c r="Q44" s="242"/>
      <c r="R44" s="242"/>
      <c r="S44" s="242"/>
      <c r="T44" s="157"/>
    </row>
    <row r="45" ht="19.5" customHeight="1">
      <c r="A45" s="160"/>
      <c r="B45" s="158"/>
      <c r="C45" s="238"/>
      <c r="D45" s="238"/>
      <c r="E45" s="235" t="str">
        <f t="shared" si="9"/>
        <v/>
      </c>
      <c r="F45" s="239"/>
      <c r="G45" s="240"/>
      <c r="H45" s="240"/>
      <c r="I45" s="241"/>
      <c r="J45" s="240"/>
      <c r="K45" s="240"/>
      <c r="L45" s="240"/>
      <c r="M45" s="240"/>
      <c r="N45" s="240"/>
      <c r="O45" s="240"/>
      <c r="P45" s="240"/>
      <c r="Q45" s="242"/>
      <c r="R45" s="242"/>
      <c r="S45" s="242"/>
      <c r="T45" s="157"/>
    </row>
    <row r="46" ht="19.5" customHeight="1">
      <c r="A46" s="160"/>
      <c r="B46" s="158"/>
      <c r="C46" s="157"/>
      <c r="D46" s="157"/>
      <c r="E46" s="235" t="str">
        <f t="shared" si="9"/>
        <v/>
      </c>
      <c r="F46" s="240"/>
      <c r="G46" s="240"/>
      <c r="H46" s="240"/>
      <c r="I46" s="241"/>
      <c r="J46" s="240"/>
      <c r="K46" s="240"/>
      <c r="L46" s="240"/>
      <c r="M46" s="240"/>
      <c r="N46" s="240"/>
      <c r="O46" s="240"/>
      <c r="P46" s="240"/>
      <c r="Q46" s="242"/>
      <c r="R46" s="242"/>
      <c r="S46" s="242"/>
      <c r="T46" s="157"/>
    </row>
    <row r="47" ht="19.5" customHeight="1">
      <c r="A47" s="160"/>
      <c r="B47" s="158"/>
      <c r="C47" s="157"/>
      <c r="D47" s="157"/>
      <c r="E47" s="235" t="str">
        <f t="shared" si="9"/>
        <v/>
      </c>
      <c r="F47" s="240"/>
      <c r="G47" s="240"/>
      <c r="H47" s="240"/>
      <c r="I47" s="241"/>
      <c r="J47" s="240"/>
      <c r="K47" s="240"/>
      <c r="L47" s="240"/>
      <c r="M47" s="240"/>
      <c r="N47" s="240"/>
      <c r="O47" s="240"/>
      <c r="P47" s="240"/>
      <c r="Q47" s="242"/>
      <c r="R47" s="242"/>
      <c r="S47" s="242"/>
      <c r="T47" s="157"/>
    </row>
    <row r="48" ht="19.5" customHeight="1">
      <c r="A48" s="160"/>
      <c r="B48" s="158"/>
      <c r="C48" s="157"/>
      <c r="D48" s="157"/>
      <c r="E48" s="235" t="str">
        <f t="shared" si="9"/>
        <v/>
      </c>
      <c r="F48" s="240"/>
      <c r="G48" s="240"/>
      <c r="H48" s="240"/>
      <c r="I48" s="241"/>
      <c r="J48" s="240"/>
      <c r="K48" s="240"/>
      <c r="L48" s="240"/>
      <c r="M48" s="240"/>
      <c r="N48" s="240"/>
      <c r="O48" s="240"/>
      <c r="P48" s="240"/>
      <c r="Q48" s="242"/>
      <c r="R48" s="242"/>
      <c r="S48" s="242"/>
      <c r="T48" s="157"/>
    </row>
    <row r="49" ht="19.5" customHeight="1">
      <c r="A49" s="160"/>
      <c r="B49" s="158"/>
      <c r="C49" s="157"/>
      <c r="D49" s="157"/>
      <c r="E49" s="235" t="str">
        <f t="shared" si="9"/>
        <v/>
      </c>
      <c r="F49" s="240"/>
      <c r="G49" s="240"/>
      <c r="H49" s="240"/>
      <c r="I49" s="241"/>
      <c r="J49" s="240"/>
      <c r="K49" s="240"/>
      <c r="L49" s="240"/>
      <c r="M49" s="240"/>
      <c r="N49" s="240"/>
      <c r="O49" s="240"/>
      <c r="P49" s="240"/>
      <c r="Q49" s="242"/>
      <c r="R49" s="242"/>
      <c r="S49" s="242"/>
      <c r="T49" s="157"/>
    </row>
    <row r="50" ht="19.5" customHeight="1">
      <c r="A50" s="160"/>
      <c r="B50" s="158"/>
      <c r="C50" s="157"/>
      <c r="D50" s="157"/>
      <c r="E50" s="235" t="str">
        <f t="shared" si="9"/>
        <v/>
      </c>
      <c r="F50" s="240"/>
      <c r="G50" s="240"/>
      <c r="H50" s="240"/>
      <c r="I50" s="241"/>
      <c r="J50" s="240"/>
      <c r="K50" s="240"/>
      <c r="L50" s="240"/>
      <c r="M50" s="240"/>
      <c r="N50" s="240"/>
      <c r="O50" s="240"/>
      <c r="P50" s="240"/>
      <c r="Q50" s="242"/>
      <c r="R50" s="242"/>
      <c r="S50" s="242"/>
      <c r="T50" s="157"/>
    </row>
    <row r="51" ht="19.5" customHeight="1">
      <c r="A51" s="160"/>
      <c r="B51" s="158"/>
      <c r="C51" s="157"/>
      <c r="D51" s="157"/>
      <c r="E51" s="235" t="str">
        <f t="shared" si="9"/>
        <v/>
      </c>
      <c r="F51" s="240"/>
      <c r="G51" s="240"/>
      <c r="H51" s="240"/>
      <c r="I51" s="241"/>
      <c r="J51" s="240"/>
      <c r="K51" s="240"/>
      <c r="L51" s="240"/>
      <c r="M51" s="240"/>
      <c r="N51" s="240"/>
      <c r="O51" s="240"/>
      <c r="P51" s="240"/>
      <c r="Q51" s="242"/>
      <c r="R51" s="242"/>
      <c r="S51" s="242"/>
      <c r="T51" s="157"/>
    </row>
    <row r="52" ht="19.5" customHeight="1">
      <c r="A52" s="160"/>
      <c r="B52" s="158"/>
      <c r="C52" s="157"/>
      <c r="D52" s="157"/>
      <c r="E52" s="235" t="str">
        <f t="shared" si="9"/>
        <v/>
      </c>
      <c r="F52" s="240"/>
      <c r="G52" s="240"/>
      <c r="H52" s="240"/>
      <c r="I52" s="241"/>
      <c r="J52" s="240"/>
      <c r="K52" s="240"/>
      <c r="L52" s="240"/>
      <c r="M52" s="240"/>
      <c r="N52" s="240"/>
      <c r="O52" s="240"/>
      <c r="P52" s="240"/>
      <c r="Q52" s="242"/>
      <c r="R52" s="242"/>
      <c r="S52" s="242"/>
      <c r="T52" s="157"/>
    </row>
    <row r="53" ht="19.5" customHeight="1">
      <c r="A53" s="160"/>
      <c r="B53" s="158"/>
      <c r="C53" s="157"/>
      <c r="D53" s="157"/>
      <c r="E53" s="235" t="str">
        <f t="shared" si="9"/>
        <v/>
      </c>
      <c r="F53" s="240"/>
      <c r="G53" s="240"/>
      <c r="H53" s="240"/>
      <c r="I53" s="241"/>
      <c r="J53" s="240"/>
      <c r="K53" s="240"/>
      <c r="L53" s="240"/>
      <c r="M53" s="240"/>
      <c r="N53" s="240"/>
      <c r="O53" s="240"/>
      <c r="P53" s="240"/>
      <c r="Q53" s="242"/>
      <c r="R53" s="242"/>
      <c r="S53" s="242"/>
      <c r="T53" s="157"/>
    </row>
    <row r="54" ht="19.5" customHeight="1">
      <c r="A54" s="160"/>
      <c r="B54" s="158"/>
      <c r="C54" s="157"/>
      <c r="D54" s="157"/>
      <c r="E54" s="235" t="str">
        <f t="shared" si="9"/>
        <v/>
      </c>
      <c r="F54" s="240"/>
      <c r="G54" s="240"/>
      <c r="H54" s="240"/>
      <c r="I54" s="241"/>
      <c r="J54" s="240"/>
      <c r="K54" s="240"/>
      <c r="L54" s="240"/>
      <c r="M54" s="240"/>
      <c r="N54" s="240"/>
      <c r="O54" s="240"/>
      <c r="P54" s="240"/>
      <c r="Q54" s="242"/>
      <c r="R54" s="242"/>
      <c r="S54" s="242"/>
      <c r="T54" s="157"/>
    </row>
    <row r="55" ht="19.5" customHeight="1">
      <c r="A55" s="160"/>
      <c r="B55" s="158"/>
      <c r="C55" s="157"/>
      <c r="D55" s="157"/>
      <c r="E55" s="235" t="str">
        <f t="shared" si="9"/>
        <v/>
      </c>
      <c r="F55" s="240"/>
      <c r="G55" s="240"/>
      <c r="H55" s="240"/>
      <c r="I55" s="241"/>
      <c r="J55" s="240"/>
      <c r="K55" s="240"/>
      <c r="L55" s="240"/>
      <c r="M55" s="240"/>
      <c r="N55" s="240"/>
      <c r="O55" s="240"/>
      <c r="P55" s="240"/>
      <c r="Q55" s="242"/>
      <c r="R55" s="242"/>
      <c r="S55" s="242"/>
      <c r="T55" s="157"/>
    </row>
    <row r="56" ht="19.5" customHeight="1">
      <c r="A56" s="160"/>
      <c r="B56" s="158"/>
      <c r="C56" s="157"/>
      <c r="D56" s="157"/>
      <c r="E56" s="235" t="str">
        <f t="shared" si="9"/>
        <v/>
      </c>
      <c r="F56" s="240"/>
      <c r="G56" s="240"/>
      <c r="H56" s="240"/>
      <c r="I56" s="241"/>
      <c r="J56" s="240"/>
      <c r="K56" s="240"/>
      <c r="L56" s="240"/>
      <c r="M56" s="240"/>
      <c r="N56" s="240"/>
      <c r="O56" s="240"/>
      <c r="P56" s="240"/>
      <c r="Q56" s="242"/>
      <c r="R56" s="242"/>
      <c r="S56" s="242"/>
      <c r="T56" s="157"/>
    </row>
    <row r="57" ht="19.5" customHeight="1">
      <c r="A57" s="160"/>
      <c r="B57" s="158"/>
      <c r="C57" s="157"/>
      <c r="D57" s="157"/>
      <c r="E57" s="235" t="str">
        <f t="shared" si="9"/>
        <v/>
      </c>
      <c r="F57" s="240"/>
      <c r="G57" s="240"/>
      <c r="H57" s="240"/>
      <c r="I57" s="241"/>
      <c r="J57" s="240"/>
      <c r="K57" s="240"/>
      <c r="L57" s="240"/>
      <c r="M57" s="240"/>
      <c r="N57" s="240"/>
      <c r="O57" s="240"/>
      <c r="P57" s="240"/>
      <c r="Q57" s="242"/>
      <c r="R57" s="242"/>
      <c r="S57" s="242"/>
      <c r="T57" s="157"/>
    </row>
  </sheetData>
  <conditionalFormatting sqref="E20:P21">
    <cfRule type="cellIs" dxfId="0" priority="1" operator="lessThan">
      <formula>0</formula>
    </cfRule>
  </conditionalFormatting>
  <drawing r:id="rId2"/>
  <legacyDrawing r:id="rId3"/>
</worksheet>
</file>